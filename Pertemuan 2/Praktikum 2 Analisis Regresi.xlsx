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thaurahman\OneDrive\Documents\Kuliah\Matkul\Data\"/>
    </mc:Choice>
  </mc:AlternateContent>
  <xr:revisionPtr revIDLastSave="0" documentId="8_{E08116A8-A957-4442-A749-C77BB12A93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6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6" l="1"/>
  <c r="S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2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4" i="6"/>
  <c r="N3" i="6"/>
  <c r="N2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1" i="6"/>
  <c r="M12" i="6"/>
  <c r="M13" i="6"/>
  <c r="M5" i="6"/>
  <c r="M6" i="6"/>
  <c r="M7" i="6"/>
  <c r="M8" i="6"/>
  <c r="M9" i="6"/>
  <c r="M10" i="6"/>
  <c r="M4" i="6"/>
  <c r="M3" i="6"/>
  <c r="M2" i="6"/>
  <c r="AA7" i="6" a="1"/>
  <c r="AA7" i="6" s="1"/>
  <c r="AB5" i="6"/>
  <c r="AA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<sst xmlns="http://schemas.openxmlformats.org/spreadsheetml/2006/main" count="2296" uniqueCount="1722">
  <si>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</si>
  <si>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</si>
  <si>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</si>
  <si>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</si>
  <si>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</si>
  <si>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</si>
  <si>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</si>
  <si>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</si>
  <si>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</si>
  <si>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</si>
  <si>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</si>
  <si>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</si>
  <si>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</si>
  <si>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</si>
  <si>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</si>
  <si>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</si>
  <si>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</si>
  <si>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</si>
  <si>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</si>
  <si>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</si>
  <si>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</si>
  <si>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</si>
  <si>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</si>
  <si>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</si>
  <si>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</si>
  <si>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</si>
  <si>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</si>
  <si>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</si>
  <si>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</si>
  <si>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</si>
  <si>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</si>
  <si>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</si>
  <si>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</si>
  <si>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</si>
  <si>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</si>
  <si>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</si>
  <si>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</si>
  <si>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</si>
  <si>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</si>
  <si>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</si>
  <si>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</si>
  <si>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</si>
  <si>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</si>
  <si>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</si>
  <si>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</si>
  <si>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</si>
  <si>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</si>
  <si>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</si>
  <si>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</si>
  <si>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</si>
  <si>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</si>
  <si>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</si>
  <si>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</si>
  <si>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</si>
  <si>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</si>
  <si>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</si>
  <si>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</si>
  <si>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</si>
  <si>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</si>
  <si>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</si>
  <si>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</si>
  <si>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</si>
  <si>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</si>
  <si>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</si>
  <si>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</si>
  <si>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</si>
  <si>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</si>
  <si>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</si>
  <si>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</si>
  <si>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</si>
  <si>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</si>
  <si>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</si>
  <si>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</si>
  <si>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</si>
  <si>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</si>
  <si>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</si>
  <si>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</si>
  <si>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</si>
  <si>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</si>
  <si>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</si>
  <si>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</si>
  <si>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</si>
  <si>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</si>
  <si>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</si>
  <si>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</si>
  <si>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</si>
  <si>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</si>
  <si>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</si>
  <si>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</si>
  <si>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</si>
  <si>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</si>
  <si>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</si>
  <si>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</si>
  <si>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</si>
  <si>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</si>
  <si>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</si>
  <si>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</si>
  <si>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</si>
  <si>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</si>
  <si>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</si>
  <si>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</si>
  <si>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</si>
  <si>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</si>
  <si>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</si>
  <si>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</si>
  <si>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</si>
  <si>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</si>
  <si>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</si>
  <si>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</si>
  <si>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</si>
  <si>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</si>
  <si>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</si>
  <si>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</si>
  <si>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</si>
  <si>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</si>
  <si>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</si>
  <si>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</si>
  <si>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</si>
  <si>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</si>
  <si>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</si>
  <si>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</si>
  <si>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</si>
  <si>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</si>
  <si>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</si>
  <si>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</si>
  <si>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</si>
  <si>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</si>
  <si>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</si>
  <si>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</si>
  <si>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</si>
  <si>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</si>
  <si>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</si>
  <si>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</si>
  <si>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</si>
  <si>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</si>
  <si>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</si>
  <si>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</si>
  <si>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</si>
  <si>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</si>
  <si>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</si>
  <si>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</si>
  <si>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</si>
  <si>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</si>
  <si>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</si>
  <si>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</si>
  <si>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</si>
  <si>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</si>
  <si>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</si>
  <si>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</si>
  <si>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</si>
  <si>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</si>
  <si>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</si>
  <si>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</si>
  <si>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</si>
  <si>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</si>
  <si>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</si>
  <si>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</si>
  <si>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</si>
  <si>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</si>
  <si>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</si>
  <si>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</si>
  <si>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</si>
  <si>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</si>
  <si>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</si>
  <si>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</si>
  <si>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</si>
  <si>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</si>
  <si>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</si>
  <si>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</si>
  <si>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</si>
  <si>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</si>
  <si>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</si>
  <si>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</si>
  <si>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</si>
  <si>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</si>
  <si>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</si>
  <si>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</si>
  <si>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</si>
  <si>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</si>
  <si>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</si>
  <si>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</si>
  <si>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</si>
  <si>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</si>
  <si>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</si>
  <si>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</si>
  <si>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</si>
  <si>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</si>
  <si>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</si>
  <si>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</si>
  <si>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</si>
  <si>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</si>
  <si>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</si>
  <si>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</si>
  <si>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</si>
  <si>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</si>
  <si>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</si>
  <si>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</si>
  <si>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</si>
  <si>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</si>
  <si>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</si>
  <si>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</si>
  <si>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</si>
  <si>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</si>
  <si>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</si>
  <si>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</si>
  <si>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</si>
  <si>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</si>
  <si>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</si>
  <si>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</si>
  <si>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</si>
  <si>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</si>
  <si>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</si>
  <si>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</si>
  <si>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</si>
  <si>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</si>
  <si>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</si>
  <si>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</si>
  <si>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</si>
  <si>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</si>
  <si>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</si>
  <si>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</si>
  <si>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</si>
  <si>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</si>
  <si>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</si>
  <si>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</si>
  <si>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</si>
  <si>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</si>
  <si>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</si>
  <si>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</si>
  <si>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</si>
  <si>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</si>
  <si>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</si>
  <si>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</si>
  <si>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</si>
  <si>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</si>
  <si>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</si>
  <si>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</si>
  <si>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</si>
  <si>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</si>
  <si>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</si>
  <si>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</si>
  <si>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</si>
  <si>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</si>
  <si>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</si>
  <si>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</si>
  <si>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</si>
  <si>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</si>
  <si>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</si>
  <si>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</si>
  <si>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</si>
  <si>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</si>
  <si>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</si>
  <si>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</si>
  <si>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</si>
  <si>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</si>
  <si>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</si>
  <si>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</si>
  <si>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</si>
  <si>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</si>
  <si>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</si>
  <si>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</si>
  <si>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</si>
  <si>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</si>
  <si>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</si>
  <si>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</si>
  <si>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</si>
  <si>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</si>
  <si>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</si>
  <si>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</si>
  <si>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</si>
  <si>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</si>
  <si>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</si>
  <si>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</si>
  <si>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</si>
  <si>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</si>
  <si>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</si>
  <si>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</si>
  <si>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</si>
  <si>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</si>
  <si>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</si>
  <si>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</si>
  <si>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</si>
  <si>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</si>
  <si>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</si>
  <si>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</si>
  <si>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</si>
  <si>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</si>
  <si>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</si>
  <si>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</si>
  <si>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</si>
  <si>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</si>
  <si>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</si>
  <si>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</si>
  <si>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</si>
  <si>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</si>
  <si>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</si>
  <si>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</si>
  <si>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</si>
  <si>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</si>
  <si>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</si>
  <si>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</si>
  <si>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</si>
  <si>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</si>
  <si>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</si>
  <si>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</si>
  <si>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</si>
  <si>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</si>
  <si>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</si>
  <si>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</si>
  <si>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</si>
  <si>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</si>
  <si>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</si>
  <si>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</si>
  <si>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</si>
  <si>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</si>
  <si>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</si>
  <si>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</si>
  <si>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</si>
  <si>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</si>
  <si>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</si>
  <si>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</si>
  <si>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</si>
  <si>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</si>
  <si>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</si>
  <si>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</si>
  <si>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</si>
  <si>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</si>
  <si>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</si>
  <si>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</si>
  <si>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</si>
  <si>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</si>
  <si>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</si>
  <si>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</si>
  <si>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</si>
  <si>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</si>
  <si>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</si>
  <si>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</si>
  <si>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</si>
  <si>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</si>
  <si>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</si>
  <si>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</si>
  <si>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</si>
  <si>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</si>
  <si>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</si>
  <si>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</si>
  <si>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</si>
  <si>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</si>
  <si>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</si>
  <si>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</si>
  <si>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</si>
  <si>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</si>
  <si>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</si>
  <si>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</si>
  <si>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</si>
  <si>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</si>
  <si>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</si>
  <si>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</si>
  <si>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</si>
  <si>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</si>
  <si>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</si>
  <si>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</si>
  <si>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</si>
  <si>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</si>
  <si>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</si>
  <si>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</si>
  <si>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</si>
  <si>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</si>
  <si>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</si>
  <si>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</si>
  <si>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</si>
  <si>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</si>
  <si>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</si>
  <si>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</si>
  <si>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</si>
  <si>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</si>
  <si>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</si>
  <si>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</si>
  <si>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</si>
  <si>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</si>
  <si>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</si>
  <si>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</si>
  <si>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</si>
  <si>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</si>
  <si>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</si>
  <si>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</si>
  <si>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</si>
  <si>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</si>
  <si>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</si>
  <si>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</si>
  <si>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</si>
  <si>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</si>
  <si>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</si>
  <si>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</si>
  <si>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</si>
  <si>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</si>
  <si>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</si>
  <si>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</si>
  <si>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</si>
  <si>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</si>
  <si>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</si>
  <si>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</si>
  <si>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</si>
  <si>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</si>
  <si>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</si>
  <si>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</si>
  <si>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</si>
  <si>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</si>
  <si>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</si>
  <si>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</si>
  <si>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</si>
  <si>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</si>
  <si>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</si>
  <si>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</si>
  <si>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</si>
  <si>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</si>
  <si>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</si>
  <si>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</si>
  <si>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</si>
  <si>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</si>
  <si>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</si>
  <si>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</si>
  <si>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</si>
  <si>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</si>
  <si>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</si>
  <si>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</si>
  <si>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</si>
  <si>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</si>
  <si>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</si>
  <si>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</si>
  <si>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</si>
  <si>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</si>
  <si>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</si>
  <si>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</si>
  <si>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</si>
  <si>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</si>
  <si>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</si>
  <si>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</si>
  <si>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</si>
  <si>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</si>
  <si>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</si>
  <si>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</si>
  <si>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</si>
  <si>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</si>
  <si>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</si>
  <si>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</si>
  <si>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</si>
  <si>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</si>
  <si>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</si>
  <si>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</si>
  <si>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</si>
  <si>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</si>
  <si>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</si>
  <si>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</si>
  <si>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</si>
  <si>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</si>
  <si>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</si>
  <si>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</si>
  <si>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</si>
  <si>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</si>
  <si>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</si>
  <si>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</si>
  <si>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</si>
  <si>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</si>
  <si>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</si>
  <si>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</si>
  <si>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</si>
  <si>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</si>
  <si>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</si>
  <si>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</si>
  <si>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</si>
  <si>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</si>
  <si>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</si>
  <si>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</si>
  <si>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</si>
  <si>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</si>
  <si>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</si>
  <si>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</si>
  <si>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</si>
  <si>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</si>
  <si>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</si>
  <si>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</si>
  <si>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</si>
  <si>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</si>
  <si>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</si>
  <si>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</si>
  <si>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</si>
  <si>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</si>
  <si>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</si>
  <si>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</si>
  <si>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</si>
  <si>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</si>
  <si>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</si>
  <si>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</si>
  <si>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</si>
  <si>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</si>
  <si>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</si>
  <si>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</si>
  <si>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</si>
  <si>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</si>
  <si>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</si>
  <si>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</si>
  <si>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</si>
  <si>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</si>
  <si>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</si>
  <si>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</si>
  <si>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</si>
  <si>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</si>
  <si>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</si>
  <si>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</si>
  <si>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</si>
  <si>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</si>
  <si>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</si>
  <si>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</si>
  <si>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</si>
  <si>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</si>
  <si>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</si>
  <si>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</si>
  <si>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</si>
  <si>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</si>
  <si>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</si>
  <si>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</si>
  <si>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</si>
  <si>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</si>
  <si>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</si>
  <si>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</si>
  <si>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</si>
  <si>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</si>
  <si>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</si>
  <si>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</si>
  <si>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</si>
  <si>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</si>
  <si>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</si>
  <si>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</si>
  <si>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</si>
  <si>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</si>
  <si>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</si>
  <si>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</si>
  <si>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</si>
  <si>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</si>
  <si>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</si>
  <si>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</si>
  <si>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</si>
  <si>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</si>
  <si>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</si>
  <si>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</si>
  <si>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</si>
  <si>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</si>
  <si>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</si>
  <si>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</si>
  <si>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</si>
  <si>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</si>
  <si>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</si>
  <si>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</si>
  <si>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</si>
  <si>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</si>
  <si>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</si>
  <si>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</si>
  <si>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</si>
  <si>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</si>
  <si>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</si>
  <si>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</si>
  <si>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</si>
  <si>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</si>
  <si>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</si>
  <si>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</si>
  <si>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</si>
  <si>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</si>
  <si>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</si>
  <si>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</si>
  <si>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</si>
  <si>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</si>
  <si>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</si>
  <si>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</si>
  <si>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</si>
  <si>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</si>
  <si>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</si>
  <si>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</si>
  <si>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</si>
  <si>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</si>
  <si>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</si>
  <si>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</si>
  <si>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</si>
  <si>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</si>
  <si>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</si>
  <si>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</si>
  <si>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</si>
  <si>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</si>
  <si>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</si>
  <si>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</si>
  <si>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</si>
  <si>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</si>
  <si>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</si>
  <si>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</si>
  <si>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</si>
  <si>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</si>
  <si>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</si>
  <si>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</si>
  <si>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</si>
  <si>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</si>
  <si>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</si>
  <si>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</si>
  <si>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</si>
  <si>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</si>
  <si>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</si>
  <si>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</si>
  <si>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</si>
  <si>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</si>
  <si>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</si>
  <si>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</si>
  <si>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</si>
  <si>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</si>
  <si>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</si>
  <si>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</si>
  <si>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</si>
  <si>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</si>
  <si>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</si>
  <si>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</si>
  <si>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</si>
  <si>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</si>
  <si>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</si>
  <si>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</si>
  <si>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</si>
  <si>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</si>
  <si>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</si>
  <si>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</si>
  <si>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</si>
  <si>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</si>
  <si>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</si>
  <si>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</si>
  <si>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</si>
  <si>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</si>
  <si>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</si>
  <si>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</si>
  <si>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</si>
  <si>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</si>
  <si>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</si>
  <si>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</si>
  <si>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</si>
  <si>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</si>
  <si>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</si>
  <si>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</si>
  <si>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</si>
  <si>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</si>
  <si>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</si>
  <si>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</si>
  <si>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</si>
  <si>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</si>
  <si>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</si>
  <si>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</si>
  <si>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</si>
  <si>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</si>
  <si>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</si>
  <si>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</si>
  <si>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</si>
  <si>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</si>
  <si>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</si>
  <si>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</si>
  <si>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</si>
  <si>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</si>
  <si>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</si>
  <si>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</si>
  <si>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</si>
  <si>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</si>
  <si>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</si>
  <si>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</si>
  <si>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</si>
  <si>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</si>
  <si>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</si>
  <si>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</si>
  <si>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</si>
  <si>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</si>
  <si>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</si>
  <si>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</si>
  <si>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</si>
  <si>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</si>
  <si>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</si>
  <si>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</si>
  <si>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</si>
  <si>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</si>
  <si>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</si>
  <si>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</si>
  <si>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</si>
  <si>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</si>
  <si>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</si>
  <si>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</si>
  <si>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</si>
  <si>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</si>
  <si>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</si>
  <si>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</si>
  <si>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</si>
  <si>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</si>
  <si>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</si>
  <si>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</si>
  <si>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</si>
  <si>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</si>
  <si>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</si>
  <si>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</si>
  <si>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</si>
  <si>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</si>
  <si>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</si>
  <si>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</si>
  <si>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</si>
  <si>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</si>
  <si>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</si>
  <si>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</si>
  <si>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</si>
  <si>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</si>
  <si>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</si>
  <si>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</si>
  <si>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</si>
  <si>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</si>
  <si>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</si>
  <si>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</si>
  <si>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</si>
  <si>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</si>
  <si>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</si>
  <si>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</si>
  <si>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</si>
  <si>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</si>
  <si>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</si>
  <si>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</si>
  <si>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</si>
  <si>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</si>
  <si>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</si>
  <si>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</si>
  <si>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</si>
  <si>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</si>
  <si>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</si>
  <si>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</si>
  <si>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</si>
  <si>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</si>
  <si>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</si>
  <si>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</si>
  <si>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</si>
  <si>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</si>
  <si>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</si>
  <si>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</si>
  <si>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</si>
  <si>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</si>
  <si>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</si>
  <si>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</si>
  <si>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</si>
  <si>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</si>
  <si>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</si>
  <si>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</si>
  <si>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</si>
  <si>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</si>
  <si>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</si>
  <si>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</si>
  <si>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</si>
  <si>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</si>
  <si>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</si>
  <si>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</si>
  <si>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</si>
  <si>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</si>
  <si>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</si>
  <si>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</si>
  <si>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</si>
  <si>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</si>
  <si>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</si>
  <si>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</si>
  <si>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</si>
  <si>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</si>
  <si>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</si>
  <si>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</si>
  <si>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</si>
  <si>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</si>
  <si>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</si>
  <si>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</si>
  <si>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</si>
  <si>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</si>
  <si>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</si>
  <si>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</si>
  <si>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</si>
  <si>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</si>
  <si>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</si>
  <si>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</si>
  <si>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</si>
  <si>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</si>
  <si>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</si>
  <si>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</si>
  <si>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</si>
  <si>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</si>
  <si>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</si>
  <si>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</si>
  <si>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</si>
  <si>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</si>
  <si>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</si>
  <si>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</si>
  <si>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</si>
  <si>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</si>
  <si>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</si>
  <si>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</si>
  <si>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</si>
  <si>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</si>
  <si>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</si>
  <si>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</si>
  <si>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</si>
  <si>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</si>
  <si>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</si>
  <si>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</si>
  <si>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</si>
  <si>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</si>
  <si>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</si>
  <si>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</si>
  <si>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</si>
  <si>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</si>
  <si>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</si>
  <si>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</si>
  <si>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</si>
  <si>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</si>
  <si>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</si>
  <si>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</si>
  <si>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</si>
  <si>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</si>
  <si>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</si>
  <si>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</si>
  <si>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</si>
  <si>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</si>
  <si>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</si>
  <si>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</si>
  <si>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</si>
  <si>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</si>
  <si>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</si>
  <si>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</si>
  <si>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</si>
  <si>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</si>
  <si>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</si>
  <si>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</si>
  <si>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</si>
  <si>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</si>
  <si>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</si>
  <si>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</si>
  <si>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</si>
  <si>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</si>
  <si>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</si>
  <si>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</si>
  <si>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</si>
  <si>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</si>
  <si>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</si>
  <si>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</si>
  <si>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</si>
  <si>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</si>
  <si>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</si>
  <si>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</si>
  <si>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</si>
  <si>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</si>
  <si>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</si>
  <si>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</si>
  <si>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</si>
  <si>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</si>
  <si>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</si>
  <si>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</si>
  <si>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</si>
  <si>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</si>
  <si>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</si>
  <si>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</si>
  <si>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</si>
  <si>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</si>
  <si>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</si>
  <si>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</si>
  <si>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</si>
  <si>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</si>
  <si>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</si>
  <si>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</si>
  <si>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</si>
  <si>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</si>
  <si>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</si>
  <si>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</si>
  <si>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</si>
  <si>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</si>
  <si>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</si>
  <si>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</si>
  <si>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</si>
  <si>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</si>
  <si>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</si>
  <si>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</si>
  <si>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</si>
  <si>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</si>
  <si>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</si>
  <si>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</si>
  <si>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</si>
  <si>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</si>
  <si>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</si>
  <si>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</si>
  <si>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</si>
  <si>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</si>
  <si>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</si>
  <si>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</si>
  <si>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</si>
  <si>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</si>
  <si>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</si>
  <si>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</si>
  <si>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</si>
  <si>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</si>
  <si>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</si>
  <si>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</si>
  <si>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</si>
  <si>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</si>
  <si>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</si>
  <si>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</si>
  <si>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</si>
  <si>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</si>
  <si>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</si>
  <si>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</si>
  <si>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</si>
  <si>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</si>
  <si>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</si>
  <si>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</si>
  <si>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</si>
  <si>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</si>
  <si>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</si>
  <si>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</si>
  <si>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</si>
  <si>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</si>
  <si>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</si>
  <si>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</si>
  <si>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</si>
  <si>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</si>
  <si>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</si>
  <si>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</si>
  <si>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</si>
  <si>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</si>
  <si>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</si>
  <si>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</si>
  <si>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</si>
  <si>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</si>
  <si>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</si>
  <si>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</si>
  <si>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</si>
  <si>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</si>
  <si>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</si>
  <si>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</si>
  <si>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</si>
  <si>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</si>
  <si>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</si>
  <si>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</si>
  <si>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</si>
  <si>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</si>
  <si>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</si>
  <si>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</si>
  <si>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</si>
  <si>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</si>
  <si>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</si>
  <si>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</si>
  <si>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</si>
  <si>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</si>
  <si>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</si>
  <si>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</si>
  <si>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</si>
  <si>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</si>
  <si>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</si>
  <si>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</si>
  <si>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</si>
  <si>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</si>
  <si>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</si>
  <si>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</si>
  <si>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</si>
  <si>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</si>
  <si>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</si>
  <si>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</si>
  <si>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</si>
  <si>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</si>
  <si>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</si>
  <si>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</si>
  <si>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</si>
  <si>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</si>
  <si>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</si>
  <si>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</si>
  <si>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</si>
  <si>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</si>
  <si>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</si>
  <si>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</si>
  <si>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</si>
  <si>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</si>
  <si>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</si>
  <si>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</si>
  <si>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</si>
  <si>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</si>
  <si>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</si>
  <si>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</si>
  <si>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</si>
  <si>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</si>
  <si>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</si>
  <si>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</si>
  <si>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</si>
  <si>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</si>
  <si>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</si>
  <si>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</si>
  <si>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</si>
  <si>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</si>
  <si>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</si>
  <si>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</si>
  <si>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</si>
  <si>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</si>
  <si>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</si>
  <si>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</si>
  <si>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</si>
  <si>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</si>
  <si>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</si>
  <si>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</si>
  <si>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</si>
  <si>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</si>
  <si>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</si>
  <si>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</si>
  <si>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</si>
  <si>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</si>
  <si>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</si>
  <si>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</si>
  <si>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</si>
  <si>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</si>
  <si>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</si>
  <si>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</si>
  <si>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</si>
  <si>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</si>
  <si>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</si>
  <si>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</si>
  <si>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</si>
  <si>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</si>
  <si>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</si>
  <si>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</si>
  <si>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</si>
  <si>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</si>
  <si>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</si>
  <si>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</si>
  <si>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</si>
  <si>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</si>
  <si>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</si>
  <si>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</si>
  <si>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</si>
  <si>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</si>
  <si>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</si>
  <si>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</si>
  <si>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</si>
  <si>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</si>
  <si>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</si>
  <si>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</si>
  <si>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</si>
  <si>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</si>
  <si>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</si>
  <si>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</si>
  <si>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</si>
  <si>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</si>
  <si>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</si>
  <si>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</si>
  <si>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</si>
  <si>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</si>
  <si>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</si>
  <si>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</si>
  <si>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</si>
  <si>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</si>
  <si>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</si>
  <si>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</si>
  <si>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</si>
  <si>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</si>
  <si>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</si>
  <si>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</si>
  <si>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</si>
  <si>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</si>
  <si>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</si>
  <si>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</si>
  <si>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</si>
  <si>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</si>
  <si>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</si>
  <si>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</si>
  <si>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</si>
  <si>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</si>
  <si>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</si>
  <si>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</si>
  <si>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</si>
  <si>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</si>
  <si>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</si>
  <si>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</si>
  <si>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</si>
  <si>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</si>
  <si>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</si>
  <si>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</si>
  <si>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</si>
  <si>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</si>
  <si>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</si>
  <si>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</si>
  <si>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</si>
  <si>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</si>
  <si>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</si>
  <si>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</si>
  <si>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</si>
  <si>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</si>
  <si>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</si>
  <si>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</si>
  <si>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</si>
  <si>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</si>
  <si>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</si>
  <si>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</si>
  <si>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</si>
  <si>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</si>
  <si>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</si>
  <si>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</si>
  <si>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</si>
  <si>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</si>
  <si>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</si>
  <si>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</si>
  <si>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</si>
  <si>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</si>
  <si>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</si>
  <si>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</si>
  <si>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</si>
  <si>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</si>
  <si>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</si>
  <si>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</si>
  <si>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</si>
  <si>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</si>
  <si>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</si>
  <si>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</si>
  <si>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</si>
  <si>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</si>
  <si>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</si>
  <si>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</si>
  <si>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</si>
  <si>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</si>
  <si>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</si>
  <si>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</si>
  <si>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</si>
  <si>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</si>
  <si>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</si>
  <si>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</si>
  <si>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</si>
  <si>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</si>
  <si>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</si>
  <si>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</si>
  <si>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</si>
  <si>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</si>
  <si>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</si>
  <si>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</si>
  <si>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</si>
  <si>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</si>
  <si>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</si>
  <si>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</si>
  <si>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</si>
  <si>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</si>
  <si>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</si>
  <si>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</si>
  <si>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</si>
  <si>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</si>
  <si>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</si>
  <si>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</si>
  <si>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</si>
  <si>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</si>
  <si>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</si>
  <si>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</si>
  <si>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</si>
  <si>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</si>
  <si>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</si>
  <si>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</si>
  <si>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</si>
  <si>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</si>
  <si>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</si>
  <si>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</si>
  <si>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</si>
  <si>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</si>
  <si>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</si>
  <si>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</si>
  <si>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</si>
  <si>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</si>
  <si>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</si>
  <si>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</si>
  <si>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</si>
  <si>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</si>
  <si>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</si>
  <si>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</si>
  <si>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</si>
  <si>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</si>
  <si>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</si>
  <si>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</si>
  <si>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</si>
  <si>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</si>
  <si>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</si>
  <si>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</si>
  <si>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</si>
  <si>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</si>
  <si>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</si>
  <si>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</si>
  <si>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</si>
  <si>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</si>
  <si>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</si>
  <si>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</si>
  <si>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</si>
  <si>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</si>
  <si>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</si>
  <si>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</si>
  <si>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</si>
  <si>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</si>
  <si>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</si>
  <si>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</si>
  <si>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</si>
  <si>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</si>
  <si>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</si>
  <si>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</si>
  <si>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</si>
  <si>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</si>
  <si>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</si>
  <si>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</si>
  <si>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</si>
  <si>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</si>
  <si>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</si>
  <si>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</si>
  <si>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</si>
  <si>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</si>
  <si>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</si>
  <si>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</si>
  <si>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</si>
  <si>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</si>
  <si>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</si>
  <si>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</si>
  <si>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</si>
  <si>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</si>
  <si>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</si>
  <si>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</si>
  <si>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</si>
  <si>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</si>
  <si>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</si>
  <si>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</si>
  <si>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</si>
  <si>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</si>
  <si>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</si>
  <si>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</si>
  <si>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</si>
  <si>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</si>
  <si>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</si>
  <si>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</si>
  <si>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</si>
  <si>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</si>
  <si>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</si>
  <si>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</si>
  <si>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</si>
  <si>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</si>
  <si>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</si>
  <si>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</si>
  <si>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</si>
  <si>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</si>
  <si>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</si>
  <si>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</si>
  <si>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</si>
  <si>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</si>
  <si>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</si>
  <si>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</si>
  <si>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</si>
  <si>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</si>
  <si>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</si>
  <si>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</si>
  <si>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</si>
  <si>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</si>
  <si>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</si>
  <si>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</si>
  <si>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</si>
  <si>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</si>
  <si>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</si>
  <si>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</si>
  <si>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</si>
  <si>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</si>
  <si>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</si>
  <si>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</si>
  <si>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</si>
  <si>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</si>
  <si>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</si>
  <si>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</si>
  <si>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</si>
  <si>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</si>
  <si>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</si>
  <si>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</si>
  <si>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</si>
  <si>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</si>
  <si>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</si>
  <si>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</si>
  <si>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</si>
  <si>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</si>
  <si>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</si>
  <si>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</si>
  <si>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</si>
  <si>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</si>
  <si>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</si>
  <si>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</si>
  <si>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</si>
  <si>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</si>
  <si>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</si>
  <si>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</si>
  <si>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</si>
  <si>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</si>
  <si>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</si>
  <si>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</si>
  <si>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</si>
  <si>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</si>
  <si>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</si>
  <si>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</si>
  <si>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</si>
  <si>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</si>
  <si>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</si>
  <si>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</si>
  <si>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</si>
  <si>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</si>
  <si>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</si>
  <si>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</si>
  <si>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</si>
  <si>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</si>
  <si>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</si>
  <si>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</si>
  <si>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</si>
  <si>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</si>
  <si>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</si>
  <si>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</si>
  <si>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</si>
  <si>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</si>
  <si>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</si>
  <si>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</si>
  <si>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</si>
  <si>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</si>
  <si>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</si>
  <si>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</si>
  <si>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</si>
  <si>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</si>
  <si>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</si>
  <si>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</si>
  <si>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</si>
  <si>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</si>
  <si>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</si>
  <si>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</si>
  <si>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</si>
  <si>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</si>
  <si>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</si>
  <si>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</si>
  <si>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</si>
  <si>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</si>
  <si>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</si>
  <si>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</si>
  <si>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</si>
  <si>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</si>
  <si>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</si>
  <si>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</si>
  <si>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</si>
  <si>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</si>
  <si>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</si>
  <si>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</si>
  <si>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</si>
  <si>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</si>
  <si>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</si>
  <si>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</si>
  <si>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</si>
  <si>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</si>
  <si>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</si>
  <si>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</si>
  <si>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</si>
  <si>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</si>
  <si>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</si>
  <si>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</si>
  <si>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</si>
  <si>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</si>
  <si>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</si>
  <si>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</si>
  <si>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</si>
  <si>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</si>
  <si>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</si>
  <si>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</si>
  <si>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</si>
  <si>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</si>
  <si>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</si>
  <si>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</si>
  <si>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</si>
  <si>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</si>
  <si>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</si>
  <si>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</si>
  <si>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</si>
  <si>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</si>
  <si>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</si>
  <si>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</si>
  <si>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</si>
  <si>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</si>
  <si>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</si>
  <si>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</si>
  <si>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</si>
  <si>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</si>
  <si>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</si>
  <si>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</si>
  <si>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</si>
  <si>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</si>
  <si>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</si>
  <si>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</si>
  <si>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</si>
  <si>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</si>
  <si>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</si>
  <si>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</si>
  <si>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</si>
  <si>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</si>
  <si>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</si>
  <si>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</si>
  <si>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</si>
  <si>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</si>
  <si>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</si>
  <si>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</si>
  <si>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</si>
  <si>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</si>
  <si>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</si>
  <si>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</si>
  <si>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</si>
  <si>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</si>
  <si>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</si>
  <si>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</si>
  <si>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</si>
  <si>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</si>
  <si>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</si>
  <si>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</si>
  <si>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</si>
  <si>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</si>
  <si>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</si>
  <si>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</si>
  <si>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</si>
  <si>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</si>
  <si>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</si>
  <si>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</si>
  <si>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</si>
  <si>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</si>
  <si>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</si>
  <si>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</si>
  <si>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</si>
  <si>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</si>
  <si>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</si>
  <si>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</si>
  <si>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</si>
  <si>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</si>
  <si>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</si>
  <si>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</si>
  <si>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</si>
  <si>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</si>
  <si>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</si>
  <si>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</si>
  <si>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</si>
  <si>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</si>
  <si>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</si>
  <si>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</si>
  <si>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</si>
  <si>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</si>
  <si>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</si>
  <si>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</si>
  <si>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</si>
  <si>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</si>
  <si>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</si>
  <si>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</si>
  <si>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</si>
  <si>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</si>
  <si>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</si>
  <si>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</si>
  <si>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</si>
  <si>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</si>
  <si>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</si>
  <si>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</si>
  <si>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</si>
  <si>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</si>
  <si>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</si>
  <si>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</si>
  <si>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</si>
  <si>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</si>
  <si>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</si>
  <si>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</si>
  <si>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</si>
  <si>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</si>
  <si>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</si>
  <si>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</si>
  <si>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</si>
  <si>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</si>
  <si>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</si>
  <si>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</si>
  <si>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</si>
  <si>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</si>
  <si>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</si>
  <si>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</si>
  <si>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</si>
  <si>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</si>
  <si>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</si>
  <si>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</si>
  <si>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</si>
  <si>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</si>
  <si>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</si>
  <si>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</si>
  <si>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</si>
  <si>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</si>
  <si>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</si>
  <si>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</si>
  <si>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</si>
  <si>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</si>
  <si>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</si>
  <si>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</si>
  <si>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</si>
  <si>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</si>
  <si>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</si>
  <si>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</si>
  <si>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</si>
  <si>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</si>
  <si>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</si>
  <si>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</si>
  <si>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</si>
  <si>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</si>
  <si>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</si>
  <si>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</si>
  <si>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</si>
  <si>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</si>
  <si>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</si>
  <si>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</si>
  <si>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</si>
  <si>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</si>
  <si>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</si>
  <si>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</si>
  <si>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</si>
  <si>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</si>
  <si>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</si>
  <si>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</si>
  <si>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</si>
  <si>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</si>
  <si>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</si>
  <si>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</si>
  <si>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</si>
  <si>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</si>
  <si>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</si>
  <si>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</si>
  <si>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</si>
  <si>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</si>
  <si>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</si>
  <si>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</si>
  <si>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</si>
  <si>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</si>
  <si>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</si>
  <si>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</si>
  <si>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</si>
  <si>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</si>
  <si>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</si>
  <si>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</si>
  <si>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</si>
  <si>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</si>
  <si>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</si>
  <si>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</si>
  <si>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</si>
  <si>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</si>
  <si>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</si>
  <si>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</si>
  <si>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</si>
  <si>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</si>
  <si>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</si>
  <si>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</si>
  <si>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</si>
  <si>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</si>
  <si>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</si>
  <si>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</si>
  <si>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</si>
  <si>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</si>
  <si>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</si>
  <si>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</si>
  <si>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</si>
  <si>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</si>
  <si>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</si>
  <si>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</si>
  <si>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</si>
  <si>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</si>
  <si>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</si>
  <si>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</si>
  <si>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</si>
  <si>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</si>
  <si>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</si>
  <si>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</si>
  <si>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</si>
  <si>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</si>
  <si>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</si>
  <si>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</si>
  <si>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</si>
  <si>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</si>
  <si>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</si>
  <si>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</si>
  <si>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</si>
  <si>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</si>
  <si>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</si>
  <si>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</si>
  <si>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</si>
  <si>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</si>
  <si>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</si>
  <si>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</si>
  <si>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</si>
  <si>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</si>
  <si>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</si>
  <si>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</si>
  <si>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</si>
  <si>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</si>
  <si>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</si>
  <si>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</si>
  <si>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</si>
  <si>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</si>
  <si>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</si>
  <si>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</si>
  <si>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</si>
  <si>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</si>
  <si>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</si>
  <si>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</si>
  <si>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</si>
  <si>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</si>
  <si>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</si>
  <si>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</si>
  <si>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</si>
  <si>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</si>
  <si>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</si>
  <si>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</si>
  <si>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</si>
  <si>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</si>
  <si>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</si>
  <si>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</si>
  <si>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</si>
  <si>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</si>
  <si>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</si>
  <si>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</si>
  <si>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</si>
  <si>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</si>
  <si>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</si>
  <si>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</si>
  <si>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</si>
  <si>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</si>
  <si>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</si>
  <si>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</si>
  <si>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</si>
  <si>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</si>
  <si>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</si>
  <si>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</si>
  <si>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</si>
  <si>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</si>
  <si>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</si>
  <si>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</si>
  <si>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</si>
  <si>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</si>
  <si>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</si>
  <si>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</si>
  <si>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</si>
  <si>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</si>
  <si>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</si>
  <si>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</si>
  <si>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</si>
  <si>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</si>
  <si>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</si>
  <si>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</si>
  <si>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</si>
  <si>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</si>
  <si>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</si>
  <si>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</si>
  <si>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</si>
  <si>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</si>
  <si>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</si>
  <si>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</si>
  <si>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</si>
  <si>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</si>
  <si>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</si>
  <si>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</si>
  <si>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</si>
  <si>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</si>
  <si>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</si>
  <si>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</si>
  <si>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</si>
  <si>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</si>
  <si>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</si>
  <si>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</si>
  <si>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</si>
  <si>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</si>
  <si>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</si>
  <si>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</si>
  <si>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</si>
  <si>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</si>
  <si>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</si>
  <si>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</si>
  <si>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</si>
  <si>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</si>
  <si>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</si>
  <si>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</si>
  <si>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</si>
  <si>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</si>
  <si>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</si>
  <si>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</si>
  <si>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</si>
  <si>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</si>
  <si>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</si>
  <si>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</si>
  <si>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</si>
  <si>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</si>
  <si>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</si>
  <si>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</si>
  <si>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</si>
  <si>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</si>
  <si>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</si>
  <si>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</si>
  <si>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</si>
  <si>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</si>
  <si>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</si>
  <si>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</si>
  <si>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</si>
  <si>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</si>
  <si>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</si>
  <si>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</si>
  <si>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</si>
  <si>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</si>
  <si>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</si>
  <si>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</si>
  <si>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</si>
  <si>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</si>
  <si>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</si>
  <si>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</si>
  <si>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B1</t>
  </si>
  <si>
    <t>B0</t>
  </si>
  <si>
    <t>SE</t>
  </si>
  <si>
    <t>Slope</t>
  </si>
  <si>
    <t>Intercept</t>
  </si>
  <si>
    <t>R2</t>
  </si>
  <si>
    <t>SE Estimate</t>
  </si>
  <si>
    <t>Uji F</t>
  </si>
  <si>
    <t>DF</t>
  </si>
  <si>
    <t>SSR</t>
  </si>
  <si>
    <t>SSE</t>
  </si>
  <si>
    <t>X - X̄</t>
  </si>
  <si>
    <t>Y - Ȳ</t>
  </si>
  <si>
    <t>(X - X̄)(Y - Ȳ)</t>
  </si>
  <si>
    <t>(X - X̄)(X - X̄)</t>
  </si>
  <si>
    <t>Beta 1 (B1)</t>
  </si>
  <si>
    <t>Beta 0 (B0)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</si>
</sst>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7" fillId="0" borderId="0" xfId="0" applyFont="1"/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AE120"/>
  <sheetViews>
    <sheetView tabSelected="1" workbookViewId="0">
      <selection activeCell="S4" sqref="S4"/>
    </sheetView>
  </sheetViews>
  <sheetFormatPr defaultRowHeight="13.2" x14ac:dyDescent="0.25"/>
  <cols>
    <col min="1" max="1" width="29.77734375" customWidth="1"/>
    <col min="13" max="13" width="12.44140625" customWidth="1"/>
    <col min="14" max="14" width="11.5546875" customWidth="1"/>
    <col min="15" max="15" width="12" customWidth="1"/>
    <col min="16" max="16" width="11.88671875" customWidth="1"/>
    <col min="18" max="18" width="10.21875" customWidth="1"/>
  </cols>
  <sheetData>
    <row r="1" spans="1:31" ht="13.2" customHeight="1" x14ac:dyDescent="0.25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1" t="s">
        <v>12</v>
      </c>
      <c r="M1" s="26" t="s">
        <v>1716</v>
      </c>
      <c r="N1" s="26" t="s">
        <v>1717</v>
      </c>
      <c r="O1" s="26" t="s">
        <v>1718</v>
      </c>
      <c r="P1" s="26" t="s">
        <v>1719</v>
      </c>
    </row>
    <row r="2" spans="1:31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  <c r="M2">
        <f>C2-AVERAGE($C$2:$C$120)</f>
        <v>0.42764705882353304</v>
      </c>
      <c r="N2">
        <f>B2-AVERAGE($B$2:$B$120)</f>
        <v>0.94386554621844709</v>
      </c>
      <c r="O2">
        <f>M2*N2</f>
        <v>0.40364132476518638</v>
      </c>
      <c r="P2">
        <f>M2^2</f>
        <v>0.18288200692041834</v>
      </c>
      <c r="R2" s="26" t="s">
        <v>1720</v>
      </c>
      <c r="S2">
        <f>SUM(O2:O120)/SUM(P2:P120)</f>
        <v>2.8749767427563082</v>
      </c>
    </row>
    <row r="3" spans="1:31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  <c r="M3">
        <f>C3-AVERAGE($C$2:$C$120)</f>
        <v>3.1176470588235325</v>
      </c>
      <c r="N3">
        <f>B3-AVERAGE($B$2:$B$120)</f>
        <v>11.823865546218443</v>
      </c>
      <c r="O3">
        <f t="shared" ref="O3:O66" si="0">M3*N3</f>
        <v>36.86263964409283</v>
      </c>
      <c r="P3">
        <f t="shared" ref="P3:P66" si="1">M3^2</f>
        <v>9.7197231833910234</v>
      </c>
      <c r="R3" s="26" t="s">
        <v>1721</v>
      </c>
      <c r="S3">
        <f>AVERAGE(B2:B120)-(S2*AVERAGE(C2:C120))</f>
        <v>50.353325164083934</v>
      </c>
    </row>
    <row r="4" spans="1:31" x14ac:dyDescent="0.2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  <c r="M4">
        <f>C4-AVERAGE($C$2:$C$120)</f>
        <v>3.1576470588235335</v>
      </c>
      <c r="N4">
        <f>B4-AVERAGE($B$2:$B$120)</f>
        <v>9.0138655462184545</v>
      </c>
      <c r="O4">
        <f t="shared" si="0"/>
        <v>28.462606030647486</v>
      </c>
      <c r="P4">
        <f t="shared" si="1"/>
        <v>9.9707349480969114</v>
      </c>
      <c r="AA4" t="s">
        <v>1705</v>
      </c>
      <c r="AB4" t="s">
        <v>1706</v>
      </c>
    </row>
    <row r="5" spans="1:31" x14ac:dyDescent="0.25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  <c r="M5">
        <f>C5-AVERAGE($C$2:$C$120)</f>
        <v>2.7776470588235327</v>
      </c>
      <c r="N5">
        <f t="shared" ref="N5:N68" si="2">B5-AVERAGE($B$2:$B$120)</f>
        <v>8.0038655462184494</v>
      </c>
      <c r="O5">
        <f t="shared" si="0"/>
        <v>22.231913593672683</v>
      </c>
      <c r="P5">
        <f t="shared" si="1"/>
        <v>7.7153231833910221</v>
      </c>
      <c r="AA5">
        <f>SLOPE(B2:B120,C2:C120)</f>
        <v>2.8749767427563082</v>
      </c>
      <c r="AB5">
        <f>INTERCEPT(B2:B120,C2:C120)</f>
        <v>50.353325164083934</v>
      </c>
      <c r="AD5" t="s">
        <v>1708</v>
      </c>
      <c r="AE5" t="s">
        <v>1709</v>
      </c>
    </row>
    <row r="6" spans="1:31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  <c r="M6">
        <f>C6-AVERAGE($C$2:$C$120)</f>
        <v>2.4076470588235335</v>
      </c>
      <c r="N6">
        <f t="shared" si="2"/>
        <v>8.6538655462184551</v>
      </c>
      <c r="O6">
        <f t="shared" si="0"/>
        <v>20.835453929807173</v>
      </c>
      <c r="P6">
        <f t="shared" si="1"/>
        <v>5.7967643598616112</v>
      </c>
    </row>
    <row r="7" spans="1:31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  <c r="M7">
        <f>C7-AVERAGE($C$2:$C$120)</f>
        <v>2.0176470588235329</v>
      </c>
      <c r="N7">
        <f t="shared" si="2"/>
        <v>6.3838655462184448</v>
      </c>
      <c r="O7">
        <f t="shared" si="0"/>
        <v>12.880387543252532</v>
      </c>
      <c r="P7">
        <f t="shared" si="1"/>
        <v>4.0708996539792528</v>
      </c>
      <c r="AA7" cm="1">
        <f t="array" ref="AA7:AB11">LINEST(B2:B120,C2:C120,TRUE,TRUE)</f>
        <v>2.8749767427563082</v>
      </c>
      <c r="AB7">
        <v>50.353325164083934</v>
      </c>
      <c r="AD7" t="s">
        <v>1705</v>
      </c>
      <c r="AE7" t="s">
        <v>1706</v>
      </c>
    </row>
    <row r="8" spans="1:31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  <c r="M8">
        <f>C8-AVERAGE($C$2:$C$120)</f>
        <v>5.7647058823533825E-2</v>
      </c>
      <c r="N8">
        <f t="shared" si="2"/>
        <v>-2.1161344537815552</v>
      </c>
      <c r="O8">
        <f t="shared" si="0"/>
        <v>-0.12198892733565193</v>
      </c>
      <c r="P8">
        <f t="shared" si="1"/>
        <v>3.3231833910039692E-3</v>
      </c>
      <c r="AA8">
        <v>9.4192980769669421E-2</v>
      </c>
      <c r="AB8">
        <v>0.84612745324278249</v>
      </c>
      <c r="AD8" t="s">
        <v>1707</v>
      </c>
      <c r="AE8" t="s">
        <v>1707</v>
      </c>
    </row>
    <row r="9" spans="1:31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  <c r="M9">
        <f>C9-AVERAGE($C$2:$C$120)</f>
        <v>-1.0823529411764667</v>
      </c>
      <c r="N9">
        <f t="shared" si="2"/>
        <v>-5.5661344537815438</v>
      </c>
      <c r="O9">
        <f t="shared" si="0"/>
        <v>6.0245219970341202</v>
      </c>
      <c r="P9">
        <f t="shared" si="1"/>
        <v>1.171487889273348</v>
      </c>
      <c r="AA9">
        <v>0.88842314055025895</v>
      </c>
      <c r="AB9">
        <v>1.6828470103751438</v>
      </c>
      <c r="AD9" t="s">
        <v>1710</v>
      </c>
      <c r="AE9" t="s">
        <v>1711</v>
      </c>
    </row>
    <row r="10" spans="1:31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  <c r="M10">
        <f>C10-AVERAGE($C$2:$C$120)</f>
        <v>-0.9223529411764666</v>
      </c>
      <c r="N10">
        <f t="shared" si="2"/>
        <v>-6.8561344537815501</v>
      </c>
      <c r="O10">
        <f t="shared" si="0"/>
        <v>6.3237757785467199</v>
      </c>
      <c r="P10">
        <f t="shared" si="1"/>
        <v>0.85073494809687844</v>
      </c>
      <c r="AA10">
        <v>931.60452765030288</v>
      </c>
      <c r="AB10">
        <v>117</v>
      </c>
      <c r="AD10" t="s">
        <v>1712</v>
      </c>
      <c r="AE10" t="s">
        <v>1713</v>
      </c>
    </row>
    <row r="11" spans="1:31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  <c r="M11">
        <f>C11-AVERAGE($C$2:$C$120)</f>
        <v>0.61764705882353255</v>
      </c>
      <c r="N11">
        <f t="shared" si="2"/>
        <v>-1.1561344537815472</v>
      </c>
      <c r="O11">
        <f t="shared" si="0"/>
        <v>-0.71408304498272401</v>
      </c>
      <c r="P11">
        <f t="shared" si="1"/>
        <v>0.38148788927336025</v>
      </c>
      <c r="AA11">
        <v>2638.2798567902978</v>
      </c>
      <c r="AB11">
        <v>331.34096505844144</v>
      </c>
      <c r="AD11" t="s">
        <v>1714</v>
      </c>
      <c r="AE11" t="s">
        <v>1715</v>
      </c>
    </row>
    <row r="12" spans="1:31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  <c r="M12">
        <f>C12-AVERAGE($C$2:$C$120)</f>
        <v>-0.52235294117646625</v>
      </c>
      <c r="N12">
        <f t="shared" si="2"/>
        <v>-5.836134453781554</v>
      </c>
      <c r="O12">
        <f t="shared" si="0"/>
        <v>3.0485219970341042</v>
      </c>
      <c r="P12">
        <f t="shared" si="1"/>
        <v>0.27285259515570481</v>
      </c>
    </row>
    <row r="13" spans="1:31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  <c r="M13">
        <f>C13-AVERAGE($C$2:$C$120)</f>
        <v>-0.51235294117646646</v>
      </c>
      <c r="N13">
        <f t="shared" si="2"/>
        <v>-5.7661344537815467</v>
      </c>
      <c r="O13">
        <f t="shared" si="0"/>
        <v>2.9542959466139331</v>
      </c>
      <c r="P13">
        <f t="shared" si="1"/>
        <v>0.26250553633217572</v>
      </c>
    </row>
    <row r="14" spans="1:31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  <c r="M14">
        <f>C14-AVERAGE($C$2:$C$120)</f>
        <v>-0.50235294117646667</v>
      </c>
      <c r="N14">
        <f t="shared" si="2"/>
        <v>-2.1061344537815501</v>
      </c>
      <c r="O14">
        <f t="shared" si="0"/>
        <v>1.0580228373702527</v>
      </c>
      <c r="P14">
        <f t="shared" si="1"/>
        <v>0.25235847750864659</v>
      </c>
    </row>
    <row r="15" spans="1:31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  <c r="M15">
        <f>C15-AVERAGE($C$2:$C$120)</f>
        <v>-0.65235294117646703</v>
      </c>
      <c r="N15">
        <f t="shared" si="2"/>
        <v>-4.1861344537815484</v>
      </c>
      <c r="O15">
        <f t="shared" si="0"/>
        <v>2.7308371230845365</v>
      </c>
      <c r="P15">
        <f t="shared" si="1"/>
        <v>0.42556435986158703</v>
      </c>
    </row>
    <row r="16" spans="1:31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  <c r="M16">
        <f>C16-AVERAGE($C$2:$C$120)</f>
        <v>-0.77235294117646625</v>
      </c>
      <c r="N16">
        <f t="shared" si="2"/>
        <v>-3.4461344537815535</v>
      </c>
      <c r="O16">
        <f t="shared" si="0"/>
        <v>2.6616320810677379</v>
      </c>
      <c r="P16">
        <f t="shared" si="1"/>
        <v>0.59652906574393794</v>
      </c>
    </row>
    <row r="17" spans="1:16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  <c r="M17">
        <f>C17-AVERAGE($C$2:$C$120)</f>
        <v>-0.84235294117646653</v>
      </c>
      <c r="N17">
        <f t="shared" si="2"/>
        <v>-4.3761344537815461</v>
      </c>
      <c r="O17">
        <f t="shared" si="0"/>
        <v>3.6862497281265552</v>
      </c>
      <c r="P17">
        <f t="shared" si="1"/>
        <v>0.70955847750864365</v>
      </c>
    </row>
    <row r="18" spans="1:16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  <c r="M18">
        <f>C18-AVERAGE($C$2:$C$120)</f>
        <v>2.7647058823532689E-2</v>
      </c>
      <c r="N18">
        <f t="shared" si="2"/>
        <v>-1.1761344537815575</v>
      </c>
      <c r="O18">
        <f t="shared" si="0"/>
        <v>-3.2516658428082205E-2</v>
      </c>
      <c r="P18">
        <f t="shared" si="1"/>
        <v>7.6435986159187667E-4</v>
      </c>
    </row>
    <row r="19" spans="1:16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  <c r="M19">
        <f>C19-AVERAGE($C$2:$C$120)</f>
        <v>-1.3823529411764666</v>
      </c>
      <c r="N19">
        <f t="shared" si="2"/>
        <v>-5.0261344537815518</v>
      </c>
      <c r="O19">
        <f t="shared" si="0"/>
        <v>6.9478917449333011</v>
      </c>
      <c r="P19">
        <f t="shared" si="1"/>
        <v>1.9108996539792276</v>
      </c>
    </row>
    <row r="20" spans="1:16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  <c r="M20">
        <f>C20-AVERAGE($C$2:$C$120)</f>
        <v>-0.95235294117646685</v>
      </c>
      <c r="N20">
        <f t="shared" si="2"/>
        <v>-3.6961344537815535</v>
      </c>
      <c r="O20">
        <f t="shared" si="0"/>
        <v>3.5200245180425362</v>
      </c>
      <c r="P20">
        <f t="shared" si="1"/>
        <v>0.9069761245674669</v>
      </c>
    </row>
    <row r="21" spans="1:16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  <c r="M21">
        <f>C21-AVERAGE($C$2:$C$120)</f>
        <v>-0.43235294117646639</v>
      </c>
      <c r="N21">
        <f t="shared" si="2"/>
        <v>-1.7561344537815557</v>
      </c>
      <c r="O21">
        <f t="shared" si="0"/>
        <v>0.75926989619378293</v>
      </c>
      <c r="P21">
        <f t="shared" si="1"/>
        <v>0.186929065743941</v>
      </c>
    </row>
    <row r="22" spans="1:16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  <c r="M22">
        <f>C22-AVERAGE($C$2:$C$120)</f>
        <v>-0.2923529411764676</v>
      </c>
      <c r="N22">
        <f t="shared" si="2"/>
        <v>-1.9261344537815575</v>
      </c>
      <c r="O22">
        <f t="shared" si="0"/>
        <v>0.56311107266436722</v>
      </c>
      <c r="P22">
        <f t="shared" si="1"/>
        <v>8.5470242214531117E-2</v>
      </c>
    </row>
    <row r="23" spans="1:16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  <c r="M23">
        <f>C23-AVERAGE($C$2:$C$120)</f>
        <v>1.3576470588235328</v>
      </c>
      <c r="N23">
        <f t="shared" si="2"/>
        <v>1.0538655462184465</v>
      </c>
      <c r="O23">
        <f t="shared" si="0"/>
        <v>1.4307774592189297</v>
      </c>
      <c r="P23">
        <f t="shared" si="1"/>
        <v>1.8432055363321891</v>
      </c>
    </row>
    <row r="24" spans="1:16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  <c r="M24">
        <f>C24-AVERAGE($C$2:$C$120)</f>
        <v>-0.26235294117646646</v>
      </c>
      <c r="N24">
        <f t="shared" si="2"/>
        <v>-4.9761344537815546</v>
      </c>
      <c r="O24">
        <f t="shared" si="0"/>
        <v>1.3055035096391403</v>
      </c>
      <c r="P24">
        <f t="shared" si="1"/>
        <v>6.8829065743942472E-2</v>
      </c>
    </row>
    <row r="25" spans="1:16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  <c r="M25">
        <f>C25-AVERAGE($C$2:$C$120)</f>
        <v>-0.3623529411764661</v>
      </c>
      <c r="N25">
        <f t="shared" si="2"/>
        <v>-4.7161344537815495</v>
      </c>
      <c r="O25">
        <f t="shared" si="0"/>
        <v>1.708905190311411</v>
      </c>
      <c r="P25">
        <f t="shared" si="1"/>
        <v>0.13129965397923551</v>
      </c>
    </row>
    <row r="26" spans="1:16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  <c r="M26">
        <f>C26-AVERAGE($C$2:$C$120)</f>
        <v>1.9576470588235324</v>
      </c>
      <c r="N26">
        <f t="shared" si="2"/>
        <v>3.2838655462184505</v>
      </c>
      <c r="O26">
        <f t="shared" si="0"/>
        <v>6.4286497281264827</v>
      </c>
      <c r="P26">
        <f t="shared" si="1"/>
        <v>3.8323820069204269</v>
      </c>
    </row>
    <row r="27" spans="1:16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  <c r="M27">
        <f>C27-AVERAGE($C$2:$C$120)</f>
        <v>1.6076470588235328</v>
      </c>
      <c r="N27">
        <f t="shared" si="2"/>
        <v>1.9438655462184471</v>
      </c>
      <c r="O27">
        <f t="shared" si="0"/>
        <v>3.1250497281264864</v>
      </c>
      <c r="P27">
        <f t="shared" si="1"/>
        <v>2.5845290657439555</v>
      </c>
    </row>
    <row r="28" spans="1:16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  <c r="M28">
        <f>C28-AVERAGE($C$2:$C$120)</f>
        <v>2.217647058823534</v>
      </c>
      <c r="N28">
        <f t="shared" si="2"/>
        <v>8.0038655462184494</v>
      </c>
      <c r="O28">
        <f t="shared" si="0"/>
        <v>17.749748887790361</v>
      </c>
      <c r="P28">
        <f t="shared" si="1"/>
        <v>4.9179584775086704</v>
      </c>
    </row>
    <row r="29" spans="1:16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  <c r="M29">
        <f>C29-AVERAGE($C$2:$C$120)</f>
        <v>1.8276470588235334</v>
      </c>
      <c r="N29">
        <f t="shared" si="2"/>
        <v>2.3438655462184528</v>
      </c>
      <c r="O29">
        <f t="shared" si="0"/>
        <v>4.2837589718239695</v>
      </c>
      <c r="P29">
        <f t="shared" si="1"/>
        <v>3.3402937716263121</v>
      </c>
    </row>
    <row r="30" spans="1:16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  <c r="M30">
        <f>C30-AVERAGE($C$2:$C$120)</f>
        <v>3.0676470588235336</v>
      </c>
      <c r="N30">
        <f t="shared" si="2"/>
        <v>7.8038655462184465</v>
      </c>
      <c r="O30">
        <f t="shared" si="0"/>
        <v>23.939505190311326</v>
      </c>
      <c r="P30">
        <f t="shared" si="1"/>
        <v>9.4104584775086764</v>
      </c>
    </row>
    <row r="31" spans="1:16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  <c r="M31">
        <f>C31-AVERAGE($C$2:$C$120)</f>
        <v>2.7476470588235333</v>
      </c>
      <c r="N31">
        <f t="shared" si="2"/>
        <v>7.3038655462184465</v>
      </c>
      <c r="O31">
        <f t="shared" si="0"/>
        <v>20.068444686109654</v>
      </c>
      <c r="P31">
        <f t="shared" si="1"/>
        <v>7.5495643598616136</v>
      </c>
    </row>
    <row r="32" spans="1:16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  <c r="M32">
        <f>C32-AVERAGE($C$2:$C$120)</f>
        <v>2.6376470588235339</v>
      </c>
      <c r="N32">
        <f t="shared" si="2"/>
        <v>4.5538655462184465</v>
      </c>
      <c r="O32">
        <f t="shared" si="0"/>
        <v>12.011490064260911</v>
      </c>
      <c r="P32">
        <f t="shared" si="1"/>
        <v>6.9571820069204389</v>
      </c>
    </row>
    <row r="33" spans="1:16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  <c r="M33">
        <f>C33-AVERAGE($C$2:$C$120)</f>
        <v>1.0276470588235327</v>
      </c>
      <c r="N33">
        <f t="shared" si="2"/>
        <v>0.2838655462184505</v>
      </c>
      <c r="O33">
        <f t="shared" si="0"/>
        <v>0.29171359367272626</v>
      </c>
      <c r="P33">
        <f t="shared" si="1"/>
        <v>1.0560584775086572</v>
      </c>
    </row>
    <row r="34" spans="1:16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  <c r="M34">
        <f>C34-AVERAGE($C$2:$C$120)</f>
        <v>0.31764705882353361</v>
      </c>
      <c r="N34">
        <f t="shared" si="2"/>
        <v>-0.73613445378154552</v>
      </c>
      <c r="O34">
        <f t="shared" si="0"/>
        <v>-0.23383094414237637</v>
      </c>
      <c r="P34">
        <f t="shared" si="1"/>
        <v>0.10089965397924142</v>
      </c>
    </row>
    <row r="35" spans="1:16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  <c r="M35">
        <f>C35-AVERAGE($C$2:$C$120)</f>
        <v>-1.4323529411764664</v>
      </c>
      <c r="N35">
        <f t="shared" si="2"/>
        <v>-3.1961344537815535</v>
      </c>
      <c r="O35">
        <f t="shared" si="0"/>
        <v>4.5779925852694472</v>
      </c>
      <c r="P35">
        <f t="shared" si="1"/>
        <v>2.0516349480968739</v>
      </c>
    </row>
    <row r="36" spans="1:16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  <c r="M36">
        <f>C36-AVERAGE($C$2:$C$120)</f>
        <v>-0.9223529411764666</v>
      </c>
      <c r="N36">
        <f t="shared" si="2"/>
        <v>-1.2261344537815546</v>
      </c>
      <c r="O36">
        <f t="shared" si="0"/>
        <v>1.1309287197232172</v>
      </c>
      <c r="P36">
        <f t="shared" si="1"/>
        <v>0.85073494809687844</v>
      </c>
    </row>
    <row r="37" spans="1:16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  <c r="M37">
        <f>C37-AVERAGE($C$2:$C$120)</f>
        <v>-1.4723529411764664</v>
      </c>
      <c r="N37">
        <f t="shared" si="2"/>
        <v>-4.7761344537815518</v>
      </c>
      <c r="O37">
        <f t="shared" si="0"/>
        <v>7.0321556104795233</v>
      </c>
      <c r="P37">
        <f t="shared" si="1"/>
        <v>2.1678231833909911</v>
      </c>
    </row>
    <row r="38" spans="1:16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  <c r="M38">
        <f>C38-AVERAGE($C$2:$C$120)</f>
        <v>-1.9623529411764666</v>
      </c>
      <c r="N38">
        <f t="shared" si="2"/>
        <v>-6.1261344537815461</v>
      </c>
      <c r="O38">
        <f t="shared" si="0"/>
        <v>12.021637963420703</v>
      </c>
      <c r="P38">
        <f t="shared" si="1"/>
        <v>3.850829065743929</v>
      </c>
    </row>
    <row r="39" spans="1:16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  <c r="M39">
        <f>C39-AVERAGE($C$2:$C$120)</f>
        <v>-0.96235294117646664</v>
      </c>
      <c r="N39">
        <f t="shared" si="2"/>
        <v>-3.2661344537815467</v>
      </c>
      <c r="O39">
        <f t="shared" si="0"/>
        <v>3.1431740978744638</v>
      </c>
      <c r="P39">
        <f t="shared" si="1"/>
        <v>0.92612318339099586</v>
      </c>
    </row>
    <row r="40" spans="1:16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  <c r="M40">
        <f>C40-AVERAGE($C$2:$C$120)</f>
        <v>-0.18235294117646639</v>
      </c>
      <c r="N40">
        <f t="shared" si="2"/>
        <v>-0.58613445378155404</v>
      </c>
      <c r="O40">
        <f t="shared" si="0"/>
        <v>0.10688334157192798</v>
      </c>
      <c r="P40">
        <f t="shared" si="1"/>
        <v>3.3252595155707811E-2</v>
      </c>
    </row>
    <row r="41" spans="1:16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  <c r="M41">
        <f>C41-AVERAGE($C$2:$C$120)</f>
        <v>-1.9323529411764664</v>
      </c>
      <c r="N41">
        <f t="shared" si="2"/>
        <v>-5.1161344537815552</v>
      </c>
      <c r="O41">
        <f t="shared" si="0"/>
        <v>9.8861774592190432</v>
      </c>
      <c r="P41">
        <f t="shared" si="1"/>
        <v>3.7339878892733402</v>
      </c>
    </row>
    <row r="42" spans="1:16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  <c r="M42">
        <f>C42-AVERAGE($C$2:$C$120)</f>
        <v>-1.0023529411764667</v>
      </c>
      <c r="N42">
        <f t="shared" si="2"/>
        <v>-3.6461344537815563</v>
      </c>
      <c r="O42">
        <f t="shared" si="0"/>
        <v>3.6547135936727928</v>
      </c>
      <c r="P42">
        <f t="shared" si="1"/>
        <v>1.0047114186851132</v>
      </c>
    </row>
    <row r="43" spans="1:16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  <c r="M43">
        <f>C43-AVERAGE($C$2:$C$120)</f>
        <v>-0.66235294117646681</v>
      </c>
      <c r="N43">
        <f t="shared" si="2"/>
        <v>0.21386554621844311</v>
      </c>
      <c r="O43">
        <f t="shared" si="0"/>
        <v>-0.14165447355409741</v>
      </c>
      <c r="P43">
        <f t="shared" si="1"/>
        <v>0.43871141868511609</v>
      </c>
    </row>
    <row r="44" spans="1:16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  <c r="M44">
        <f>C44-AVERAGE($C$2:$C$120)</f>
        <v>0.4576470588235324</v>
      </c>
      <c r="N44">
        <f t="shared" si="2"/>
        <v>2.413865546218446</v>
      </c>
      <c r="O44">
        <f t="shared" si="0"/>
        <v>1.1046984676223313</v>
      </c>
      <c r="P44">
        <f t="shared" si="1"/>
        <v>0.20944083044982972</v>
      </c>
    </row>
    <row r="45" spans="1:16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  <c r="M45">
        <f>C45-AVERAGE($C$2:$C$120)</f>
        <v>1.177647058823533</v>
      </c>
      <c r="N45">
        <f t="shared" si="2"/>
        <v>3.5538655462184465</v>
      </c>
      <c r="O45">
        <f t="shared" si="0"/>
        <v>4.1851993079584426</v>
      </c>
      <c r="P45">
        <f t="shared" si="1"/>
        <v>1.3868525951557178</v>
      </c>
    </row>
    <row r="46" spans="1:16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  <c r="M46">
        <f>C46-AVERAGE($C$2:$C$120)</f>
        <v>-1.152352941176467</v>
      </c>
      <c r="N46">
        <f t="shared" si="2"/>
        <v>-3.2061344537815444</v>
      </c>
      <c r="O46">
        <f t="shared" si="0"/>
        <v>3.6945984676223684</v>
      </c>
      <c r="P46">
        <f t="shared" si="1"/>
        <v>1.3279173010380541</v>
      </c>
    </row>
    <row r="47" spans="1:16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  <c r="M47">
        <f>C47-AVERAGE($C$2:$C$120)</f>
        <v>0.42764705882353304</v>
      </c>
      <c r="N47">
        <f t="shared" si="2"/>
        <v>2.3638655462184488</v>
      </c>
      <c r="O47">
        <f t="shared" si="0"/>
        <v>1.0109001482946041</v>
      </c>
      <c r="P47">
        <f t="shared" si="1"/>
        <v>0.18288200692041834</v>
      </c>
    </row>
    <row r="48" spans="1:16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  <c r="M48">
        <f>C48-AVERAGE($C$2:$C$120)</f>
        <v>-0.95235294117646685</v>
      </c>
      <c r="N48">
        <f t="shared" si="2"/>
        <v>-0.2161344537815495</v>
      </c>
      <c r="O48">
        <f t="shared" si="0"/>
        <v>0.2058362827484278</v>
      </c>
      <c r="P48">
        <f t="shared" si="1"/>
        <v>0.9069761245674669</v>
      </c>
    </row>
    <row r="49" spans="1:16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  <c r="M49">
        <f>C49-AVERAGE($C$2:$C$120)</f>
        <v>-1.5423529411764667</v>
      </c>
      <c r="N49">
        <f t="shared" si="2"/>
        <v>-3.7261344537815546</v>
      </c>
      <c r="O49">
        <f t="shared" si="0"/>
        <v>5.747014434008948</v>
      </c>
      <c r="P49">
        <f t="shared" si="1"/>
        <v>2.3788525951556974</v>
      </c>
    </row>
    <row r="50" spans="1:16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  <c r="M50">
        <f>C50-AVERAGE($C$2:$C$120)</f>
        <v>-1.572352941176467</v>
      </c>
      <c r="N50">
        <f t="shared" si="2"/>
        <v>-4.3261344537815489</v>
      </c>
      <c r="O50">
        <f t="shared" si="0"/>
        <v>6.8022102323282665</v>
      </c>
      <c r="P50">
        <f t="shared" si="1"/>
        <v>2.4722937716262861</v>
      </c>
    </row>
    <row r="51" spans="1:16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  <c r="M51">
        <f>C51-AVERAGE($C$2:$C$120)</f>
        <v>-1.1023529411764663</v>
      </c>
      <c r="N51">
        <f t="shared" si="2"/>
        <v>-3.2161344537815495</v>
      </c>
      <c r="O51">
        <f t="shared" si="0"/>
        <v>3.5453152743450591</v>
      </c>
      <c r="P51">
        <f t="shared" si="1"/>
        <v>1.2151820069204058</v>
      </c>
    </row>
    <row r="52" spans="1:16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  <c r="M52">
        <f>C52-AVERAGE($C$2:$C$120)</f>
        <v>-1.0123529411764665</v>
      </c>
      <c r="N52">
        <f t="shared" si="2"/>
        <v>-1.6461344537815563</v>
      </c>
      <c r="O52">
        <f t="shared" si="0"/>
        <v>1.6664690558576747</v>
      </c>
      <c r="P52">
        <f t="shared" si="1"/>
        <v>1.0248584775086422</v>
      </c>
    </row>
    <row r="53" spans="1:16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  <c r="M53">
        <f>C53-AVERAGE($C$2:$C$120)</f>
        <v>0.5176470588235329</v>
      </c>
      <c r="N53">
        <f t="shared" si="2"/>
        <v>1.4638655462184431</v>
      </c>
      <c r="O53">
        <f t="shared" si="0"/>
        <v>0.75776569451308151</v>
      </c>
      <c r="P53">
        <f t="shared" si="1"/>
        <v>0.26795847750865415</v>
      </c>
    </row>
    <row r="54" spans="1:16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  <c r="M54">
        <f>C54-AVERAGE($C$2:$C$120)</f>
        <v>-0.56235294117646717</v>
      </c>
      <c r="N54">
        <f t="shared" si="2"/>
        <v>-1.4261344537815575</v>
      </c>
      <c r="O54">
        <f t="shared" si="0"/>
        <v>0.80199090459715328</v>
      </c>
      <c r="P54">
        <f t="shared" si="1"/>
        <v>0.31624083044982315</v>
      </c>
    </row>
    <row r="55" spans="1:16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  <c r="M55">
        <f>C55-AVERAGE($C$2:$C$120)</f>
        <v>-0.55235294117646738</v>
      </c>
      <c r="N55">
        <f t="shared" si="2"/>
        <v>-1.1761344537815575</v>
      </c>
      <c r="O55">
        <f t="shared" si="0"/>
        <v>0.64964132476522118</v>
      </c>
      <c r="P55">
        <f t="shared" si="1"/>
        <v>0.30509377162629403</v>
      </c>
    </row>
    <row r="56" spans="1:16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  <c r="M56">
        <f>C56-AVERAGE($C$2:$C$120)</f>
        <v>-0.6723529411764666</v>
      </c>
      <c r="N56">
        <f t="shared" si="2"/>
        <v>-7.6134453781548928E-2</v>
      </c>
      <c r="O56">
        <f t="shared" si="0"/>
        <v>5.1189223924888179E-2</v>
      </c>
      <c r="P56">
        <f t="shared" si="1"/>
        <v>0.45205847750864514</v>
      </c>
    </row>
    <row r="57" spans="1:16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  <c r="M57">
        <f>C57-AVERAGE($C$2:$C$120)</f>
        <v>-1.3023529411764665</v>
      </c>
      <c r="N57">
        <f t="shared" si="2"/>
        <v>-3.8861344537815512</v>
      </c>
      <c r="O57">
        <f t="shared" si="0"/>
        <v>5.0611186356896045</v>
      </c>
      <c r="P57">
        <f t="shared" si="1"/>
        <v>1.6961231833909929</v>
      </c>
    </row>
    <row r="58" spans="1:16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  <c r="M58">
        <f>C58-AVERAGE($C$2:$C$120)</f>
        <v>-1.0923529411764665</v>
      </c>
      <c r="N58">
        <f t="shared" si="2"/>
        <v>-1.4061344537815472</v>
      </c>
      <c r="O58">
        <f t="shared" si="0"/>
        <v>1.5359951062778374</v>
      </c>
      <c r="P58">
        <f t="shared" si="1"/>
        <v>1.1932349480968769</v>
      </c>
    </row>
    <row r="59" spans="1:16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  <c r="M59">
        <f>C59-AVERAGE($C$2:$C$120)</f>
        <v>-1.7523529411764667</v>
      </c>
      <c r="N59">
        <f t="shared" si="2"/>
        <v>-5.0161344537815467</v>
      </c>
      <c r="O59">
        <f t="shared" si="0"/>
        <v>8.7900379634207031</v>
      </c>
      <c r="P59">
        <f t="shared" si="1"/>
        <v>3.0707408304498132</v>
      </c>
    </row>
    <row r="60" spans="1:16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  <c r="M60">
        <f>C60-AVERAGE($C$2:$C$120)</f>
        <v>-1.3523529411764663</v>
      </c>
      <c r="N60">
        <f t="shared" si="2"/>
        <v>-3.7961344537815478</v>
      </c>
      <c r="O60">
        <f t="shared" si="0"/>
        <v>5.1337135936727947</v>
      </c>
      <c r="P60">
        <f t="shared" si="1"/>
        <v>1.8288584775086389</v>
      </c>
    </row>
    <row r="61" spans="1:16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  <c r="M61">
        <f>C61-AVERAGE($C$2:$C$120)</f>
        <v>-2.2723529411764671</v>
      </c>
      <c r="N61">
        <f t="shared" si="2"/>
        <v>-7.0961344537815449</v>
      </c>
      <c r="O61">
        <f t="shared" si="0"/>
        <v>16.124921997034157</v>
      </c>
      <c r="P61">
        <f t="shared" si="1"/>
        <v>5.1635878892733409</v>
      </c>
    </row>
    <row r="62" spans="1:16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  <c r="M62">
        <f>C62-AVERAGE($C$2:$C$120)</f>
        <v>-1.4723529411764664</v>
      </c>
      <c r="N62">
        <f t="shared" si="2"/>
        <v>-4.0461344537815478</v>
      </c>
      <c r="O62">
        <f t="shared" si="0"/>
        <v>5.9573379634206978</v>
      </c>
      <c r="P62">
        <f t="shared" si="1"/>
        <v>2.1678231833909911</v>
      </c>
    </row>
    <row r="63" spans="1:16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  <c r="M63">
        <f>C63-AVERAGE($C$2:$C$120)</f>
        <v>-2.4223529411764666</v>
      </c>
      <c r="N63">
        <f t="shared" si="2"/>
        <v>-5.5661344537815438</v>
      </c>
      <c r="O63">
        <f t="shared" si="0"/>
        <v>13.483142165101388</v>
      </c>
      <c r="P63">
        <f t="shared" si="1"/>
        <v>5.8677937716262782</v>
      </c>
    </row>
    <row r="64" spans="1:16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  <c r="M64">
        <f>C64-AVERAGE($C$2:$C$120)</f>
        <v>2.597647058823533</v>
      </c>
      <c r="N64">
        <f t="shared" si="2"/>
        <v>6.4038655462184551</v>
      </c>
      <c r="O64">
        <f t="shared" si="0"/>
        <v>16.634982501235726</v>
      </c>
      <c r="P64">
        <f t="shared" si="1"/>
        <v>6.7477702422145516</v>
      </c>
    </row>
    <row r="65" spans="1:16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  <c r="M65">
        <f>C65-AVERAGE($C$2:$C$120)</f>
        <v>2.4176470588235333</v>
      </c>
      <c r="N65">
        <f t="shared" si="2"/>
        <v>8.663865546218446</v>
      </c>
      <c r="O65">
        <f t="shared" si="0"/>
        <v>20.94616905585757</v>
      </c>
      <c r="P65">
        <f t="shared" si="1"/>
        <v>5.845017301038081</v>
      </c>
    </row>
    <row r="66" spans="1:16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  <c r="M66">
        <f>C66-AVERAGE($C$2:$C$120)</f>
        <v>2.6476470588235337</v>
      </c>
      <c r="N66">
        <f t="shared" si="2"/>
        <v>9.9738655462184482</v>
      </c>
      <c r="O66">
        <f t="shared" si="0"/>
        <v>26.407275778546651</v>
      </c>
      <c r="P66">
        <f t="shared" si="1"/>
        <v>7.0100349480969086</v>
      </c>
    </row>
    <row r="67" spans="1:16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  <c r="M67">
        <f>C67-AVERAGE($C$2:$C$120)</f>
        <v>2.217647058823534</v>
      </c>
      <c r="N67">
        <f t="shared" si="2"/>
        <v>9.4938655462184443</v>
      </c>
      <c r="O67">
        <f t="shared" ref="O67:O120" si="3">M67*N67</f>
        <v>21.054043005437418</v>
      </c>
      <c r="P67">
        <f t="shared" ref="P67:P120" si="4">M67^2</f>
        <v>4.9179584775086704</v>
      </c>
    </row>
    <row r="68" spans="1:16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  <c r="M68">
        <f>C68-AVERAGE($C$2:$C$120)</f>
        <v>0.50764705882353311</v>
      </c>
      <c r="N68">
        <f t="shared" si="2"/>
        <v>1.4638655462184431</v>
      </c>
      <c r="O68">
        <f t="shared" si="3"/>
        <v>0.74312703905089739</v>
      </c>
      <c r="P68">
        <f t="shared" si="4"/>
        <v>0.25770553633218368</v>
      </c>
    </row>
    <row r="69" spans="1:16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  <c r="M69">
        <f>C69-AVERAGE($C$2:$C$120)</f>
        <v>0.44764705882353262</v>
      </c>
      <c r="N69">
        <f t="shared" ref="N69:N120" si="5">B69-AVERAGE($B$2:$B$120)</f>
        <v>1.7538655462184494</v>
      </c>
      <c r="O69">
        <f t="shared" si="3"/>
        <v>0.78511275333661734</v>
      </c>
      <c r="P69">
        <f t="shared" si="4"/>
        <v>0.20038788927335927</v>
      </c>
    </row>
    <row r="70" spans="1:16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  <c r="M70">
        <f>C70-AVERAGE($C$2:$C$120)</f>
        <v>0.36764705882353255</v>
      </c>
      <c r="N70">
        <f t="shared" si="5"/>
        <v>0.43386554621845619</v>
      </c>
      <c r="O70">
        <f t="shared" si="3"/>
        <v>0.15950939199208083</v>
      </c>
      <c r="P70">
        <f t="shared" si="4"/>
        <v>0.135164359861594</v>
      </c>
    </row>
    <row r="71" spans="1:16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  <c r="M71">
        <f>C71-AVERAGE($C$2:$C$120)</f>
        <v>0.97764705882353375</v>
      </c>
      <c r="N71">
        <f t="shared" si="5"/>
        <v>6.3038655462184465</v>
      </c>
      <c r="O71">
        <f t="shared" si="3"/>
        <v>6.1629556104794734</v>
      </c>
      <c r="P71">
        <f t="shared" si="4"/>
        <v>0.95579377162630608</v>
      </c>
    </row>
    <row r="72" spans="1:16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  <c r="M72">
        <f>C72-AVERAGE($C$2:$C$120)</f>
        <v>-1.4823529411764671</v>
      </c>
      <c r="N72">
        <f t="shared" si="5"/>
        <v>-3.6061344537815501</v>
      </c>
      <c r="O72">
        <f t="shared" si="3"/>
        <v>5.3455640138408738</v>
      </c>
      <c r="P72">
        <f t="shared" si="4"/>
        <v>2.1973702422145225</v>
      </c>
    </row>
    <row r="73" spans="1:16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  <c r="M73">
        <f>C73-AVERAGE($C$2:$C$120)</f>
        <v>2.4976470588235333</v>
      </c>
      <c r="N73">
        <f t="shared" si="5"/>
        <v>9.9638655462184431</v>
      </c>
      <c r="O73">
        <f t="shared" si="3"/>
        <v>24.886219476025634</v>
      </c>
      <c r="P73">
        <f t="shared" si="4"/>
        <v>6.2382408304498469</v>
      </c>
    </row>
    <row r="74" spans="1:16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  <c r="M74">
        <f>C74-AVERAGE($C$2:$C$120)</f>
        <v>3.2876470588235325</v>
      </c>
      <c r="N74">
        <f t="shared" si="5"/>
        <v>13.353865546218444</v>
      </c>
      <c r="O74">
        <f t="shared" si="3"/>
        <v>43.90279678694997</v>
      </c>
      <c r="P74">
        <f t="shared" si="4"/>
        <v>10.808623183391024</v>
      </c>
    </row>
    <row r="75" spans="1:16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  <c r="M75">
        <f>C75-AVERAGE($C$2:$C$120)</f>
        <v>-0.93235294117646639</v>
      </c>
      <c r="N75">
        <f t="shared" si="5"/>
        <v>-4.2561344537815557</v>
      </c>
      <c r="O75">
        <f t="shared" si="3"/>
        <v>3.9682194760257268</v>
      </c>
      <c r="P75">
        <f t="shared" si="4"/>
        <v>0.86928200692040736</v>
      </c>
    </row>
    <row r="76" spans="1:16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  <c r="M76">
        <f>C76-AVERAGE($C$2:$C$120)</f>
        <v>-1.0323529411764669</v>
      </c>
      <c r="N76">
        <f t="shared" si="5"/>
        <v>-2.0461344537815478</v>
      </c>
      <c r="O76">
        <f t="shared" si="3"/>
        <v>2.1123329214038846</v>
      </c>
      <c r="P76">
        <f t="shared" si="4"/>
        <v>1.0657525951557019</v>
      </c>
    </row>
    <row r="77" spans="1:16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  <c r="M77">
        <f>C77-AVERAGE($C$2:$C$120)</f>
        <v>-0.91235294117646681</v>
      </c>
      <c r="N77">
        <f t="shared" si="5"/>
        <v>-3.2761344537815518</v>
      </c>
      <c r="O77">
        <f t="shared" si="3"/>
        <v>2.9889909045971566</v>
      </c>
      <c r="P77">
        <f t="shared" si="4"/>
        <v>0.8323878892733495</v>
      </c>
    </row>
    <row r="78" spans="1:16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  <c r="M78">
        <f>C78-AVERAGE($C$2:$C$120)</f>
        <v>-0.15235294117646703</v>
      </c>
      <c r="N78">
        <f t="shared" si="5"/>
        <v>-0.61613445378155518</v>
      </c>
      <c r="O78">
        <f t="shared" si="3"/>
        <v>9.386989619377592E-2</v>
      </c>
      <c r="P78">
        <f t="shared" si="4"/>
        <v>2.3211418685120021E-2</v>
      </c>
    </row>
    <row r="79" spans="1:16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  <c r="M79">
        <f>C79-AVERAGE($C$2:$C$120)</f>
        <v>-0.96235294117646664</v>
      </c>
      <c r="N79">
        <f t="shared" si="5"/>
        <v>-2.3061344537815529</v>
      </c>
      <c r="O79">
        <f t="shared" si="3"/>
        <v>2.2193152743450617</v>
      </c>
      <c r="P79">
        <f t="shared" si="4"/>
        <v>0.92612318339099586</v>
      </c>
    </row>
    <row r="80" spans="1:16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  <c r="M80">
        <f>C80-AVERAGE($C$2:$C$120)</f>
        <v>-0.57235294117646696</v>
      </c>
      <c r="N80">
        <f t="shared" si="5"/>
        <v>-0.56613445378154381</v>
      </c>
      <c r="O80">
        <f t="shared" si="3"/>
        <v>0.32402871972319919</v>
      </c>
      <c r="P80">
        <f t="shared" si="4"/>
        <v>0.32758788927335225</v>
      </c>
    </row>
    <row r="81" spans="1:16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  <c r="M81">
        <f>C81-AVERAGE($C$2:$C$120)</f>
        <v>-1.0323529411764669</v>
      </c>
      <c r="N81">
        <f t="shared" si="5"/>
        <v>-2.2161344537815495</v>
      </c>
      <c r="O81">
        <f t="shared" si="3"/>
        <v>2.2878329214038855</v>
      </c>
      <c r="P81">
        <f t="shared" si="4"/>
        <v>1.0657525951557019</v>
      </c>
    </row>
    <row r="82" spans="1:16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  <c r="M82">
        <f>C82-AVERAGE($C$2:$C$120)</f>
        <v>-1.5623529411764672</v>
      </c>
      <c r="N82">
        <f t="shared" si="5"/>
        <v>-5.4361344537815484</v>
      </c>
      <c r="O82">
        <f t="shared" si="3"/>
        <v>8.4931606524963303</v>
      </c>
      <c r="P82">
        <f t="shared" si="4"/>
        <v>2.4409467128027575</v>
      </c>
    </row>
    <row r="83" spans="1:16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  <c r="M83">
        <f>C83-AVERAGE($C$2:$C$120)</f>
        <v>-2.2923529411764667</v>
      </c>
      <c r="N83">
        <f t="shared" si="5"/>
        <v>-4.8161344537815438</v>
      </c>
      <c r="O83">
        <f t="shared" si="3"/>
        <v>11.040279980227439</v>
      </c>
      <c r="P83">
        <f t="shared" si="4"/>
        <v>5.2548820069203979</v>
      </c>
    </row>
    <row r="84" spans="1:16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  <c r="M84">
        <f>C84-AVERAGE($C$2:$C$120)</f>
        <v>-1.0523529411764665</v>
      </c>
      <c r="N84">
        <f t="shared" si="5"/>
        <v>-1.4461344537815535</v>
      </c>
      <c r="O84">
        <f t="shared" si="3"/>
        <v>1.5218438457736407</v>
      </c>
      <c r="P84">
        <f t="shared" si="4"/>
        <v>1.1074467128027596</v>
      </c>
    </row>
    <row r="85" spans="1:16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  <c r="M85">
        <f>C85-AVERAGE($C$2:$C$120)</f>
        <v>-2.3023529411764665</v>
      </c>
      <c r="N85">
        <f t="shared" si="5"/>
        <v>-4.5261344537815518</v>
      </c>
      <c r="O85">
        <f t="shared" si="3"/>
        <v>10.420758971824096</v>
      </c>
      <c r="P85">
        <f t="shared" si="4"/>
        <v>5.3008290657439261</v>
      </c>
    </row>
    <row r="86" spans="1:16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  <c r="M86">
        <f>C86-AVERAGE($C$2:$C$120)</f>
        <v>-1.902352941176467</v>
      </c>
      <c r="N86">
        <f t="shared" si="5"/>
        <v>-4.5261344537815518</v>
      </c>
      <c r="O86">
        <f t="shared" si="3"/>
        <v>8.6103051903114771</v>
      </c>
      <c r="P86">
        <f t="shared" si="4"/>
        <v>3.6189467128027548</v>
      </c>
    </row>
    <row r="87" spans="1:16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  <c r="M87">
        <f>C87-AVERAGE($C$2:$C$120)</f>
        <v>-2.5223529411764671</v>
      </c>
      <c r="N87">
        <f t="shared" si="5"/>
        <v>-4.8961344537815563</v>
      </c>
      <c r="O87">
        <f t="shared" si="3"/>
        <v>12.349779139891345</v>
      </c>
      <c r="P87">
        <f t="shared" si="4"/>
        <v>6.362264359861574</v>
      </c>
    </row>
    <row r="88" spans="1:16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  <c r="M88">
        <f>C88-AVERAGE($C$2:$C$120)</f>
        <v>-1.3723529411764668</v>
      </c>
      <c r="N88">
        <f t="shared" si="5"/>
        <v>-3.3861344537815512</v>
      </c>
      <c r="O88">
        <f t="shared" si="3"/>
        <v>4.6469715768660809</v>
      </c>
      <c r="P88">
        <f t="shared" si="4"/>
        <v>1.8833525951556989</v>
      </c>
    </row>
    <row r="89" spans="1:16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  <c r="M89">
        <f>C89-AVERAGE($C$2:$C$120)</f>
        <v>2.0776470588235334</v>
      </c>
      <c r="N89">
        <f t="shared" si="5"/>
        <v>6.9238655462184511</v>
      </c>
      <c r="O89">
        <f t="shared" si="3"/>
        <v>14.385348887790363</v>
      </c>
      <c r="P89">
        <f t="shared" si="4"/>
        <v>4.3166173010380788</v>
      </c>
    </row>
    <row r="90" spans="1:16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  <c r="M90">
        <f>C90-AVERAGE($C$2:$C$120)</f>
        <v>0.29764705882353404</v>
      </c>
      <c r="N90">
        <f t="shared" si="5"/>
        <v>0.94386554621844709</v>
      </c>
      <c r="O90">
        <f t="shared" si="3"/>
        <v>0.2809388037567892</v>
      </c>
      <c r="P90">
        <f t="shared" si="4"/>
        <v>8.8593771626300333E-2</v>
      </c>
    </row>
    <row r="91" spans="1:16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  <c r="M91">
        <f>C91-AVERAGE($C$2:$C$120)</f>
        <v>-5.2352941176467382E-2</v>
      </c>
      <c r="N91">
        <f t="shared" si="5"/>
        <v>-7.6134453781548928E-2</v>
      </c>
      <c r="O91">
        <f t="shared" si="3"/>
        <v>3.9858625803279053E-3</v>
      </c>
      <c r="P91">
        <f t="shared" si="4"/>
        <v>2.7408304498266539E-3</v>
      </c>
    </row>
    <row r="92" spans="1:16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  <c r="M92">
        <f>C92-AVERAGE($C$2:$C$120)</f>
        <v>-0.58235294117646674</v>
      </c>
      <c r="N92">
        <f t="shared" si="5"/>
        <v>-0.50613445378155575</v>
      </c>
      <c r="O92">
        <f t="shared" si="3"/>
        <v>0.29474888779043346</v>
      </c>
      <c r="P92">
        <f t="shared" si="4"/>
        <v>0.33913494809688133</v>
      </c>
    </row>
    <row r="93" spans="1:16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  <c r="M93">
        <f>C93-AVERAGE($C$2:$C$120)</f>
        <v>-0.63235294117646745</v>
      </c>
      <c r="N93">
        <f t="shared" si="5"/>
        <v>-0.93613445378154836</v>
      </c>
      <c r="O93">
        <f t="shared" si="3"/>
        <v>0.59196737518538789</v>
      </c>
      <c r="P93">
        <f t="shared" si="4"/>
        <v>0.39987024221452888</v>
      </c>
    </row>
    <row r="94" spans="1:16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  <c r="M94">
        <f>C94-AVERAGE($C$2:$C$120)</f>
        <v>-0.14235294117646724</v>
      </c>
      <c r="N94">
        <f t="shared" si="5"/>
        <v>1.0238655462184454</v>
      </c>
      <c r="O94">
        <f t="shared" si="3"/>
        <v>-0.14575027187344586</v>
      </c>
      <c r="P94">
        <f t="shared" si="4"/>
        <v>2.0264359861590742E-2</v>
      </c>
    </row>
    <row r="95" spans="1:16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  <c r="M95">
        <f>C95-AVERAGE($C$2:$C$120)</f>
        <v>-0.99235294117646689</v>
      </c>
      <c r="N95">
        <f t="shared" si="5"/>
        <v>-1.836134453781554</v>
      </c>
      <c r="O95">
        <f t="shared" si="3"/>
        <v>1.8220934256055707</v>
      </c>
      <c r="P95">
        <f t="shared" si="4"/>
        <v>0.98476435986158439</v>
      </c>
    </row>
    <row r="96" spans="1:16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  <c r="M96">
        <f>C96-AVERAGE($C$2:$C$120)</f>
        <v>-1.2423529411764669</v>
      </c>
      <c r="N96">
        <f t="shared" si="5"/>
        <v>-2.9961344537815506</v>
      </c>
      <c r="O96">
        <f t="shared" si="3"/>
        <v>3.7222564508156566</v>
      </c>
      <c r="P96">
        <f t="shared" si="4"/>
        <v>1.5434408304498177</v>
      </c>
    </row>
    <row r="97" spans="1:16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  <c r="M97">
        <f>C97-AVERAGE($C$2:$C$120)</f>
        <v>-1.3023529411764665</v>
      </c>
      <c r="N97">
        <f t="shared" si="5"/>
        <v>-3.4361344537815484</v>
      </c>
      <c r="O97">
        <f t="shared" si="3"/>
        <v>4.4750598121601906</v>
      </c>
      <c r="P97">
        <f t="shared" si="4"/>
        <v>1.6961231833909929</v>
      </c>
    </row>
    <row r="98" spans="1:16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  <c r="M98">
        <f>C98-AVERAGE($C$2:$C$120)</f>
        <v>-0.35235294117646632</v>
      </c>
      <c r="N98">
        <f t="shared" si="5"/>
        <v>0.15386554621845505</v>
      </c>
      <c r="O98">
        <f t="shared" si="3"/>
        <v>-5.4214977755796152E-2</v>
      </c>
      <c r="P98">
        <f t="shared" si="4"/>
        <v>0.12415259515570633</v>
      </c>
    </row>
    <row r="99" spans="1:16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  <c r="M99">
        <f>C99-AVERAGE($C$2:$C$120)</f>
        <v>1.1976470588235326</v>
      </c>
      <c r="N99">
        <f t="shared" si="5"/>
        <v>3.1838655462184562</v>
      </c>
      <c r="O99">
        <f t="shared" si="3"/>
        <v>3.8131472071181141</v>
      </c>
      <c r="P99">
        <f t="shared" si="4"/>
        <v>1.4343584775086582</v>
      </c>
    </row>
    <row r="100" spans="1:16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  <c r="M100">
        <f>C100-AVERAGE($C$2:$C$120)</f>
        <v>-2.822352941176467</v>
      </c>
      <c r="N100">
        <f t="shared" si="5"/>
        <v>-8.4161344537815523</v>
      </c>
      <c r="O100">
        <f t="shared" si="3"/>
        <v>23.753301828966961</v>
      </c>
      <c r="P100">
        <f t="shared" si="4"/>
        <v>7.9656761245674534</v>
      </c>
    </row>
    <row r="101" spans="1:16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  <c r="M101">
        <f>C101-AVERAGE($C$2:$C$120)</f>
        <v>-3.7523529411764667</v>
      </c>
      <c r="N101">
        <f t="shared" si="5"/>
        <v>-9.0261344537815518</v>
      </c>
      <c r="O101">
        <f t="shared" si="3"/>
        <v>33.869242165101447</v>
      </c>
      <c r="P101">
        <f t="shared" si="4"/>
        <v>14.080152595155679</v>
      </c>
    </row>
    <row r="102" spans="1:16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  <c r="M102">
        <f>C102-AVERAGE($C$2:$C$120)</f>
        <v>-1.6623529411764668</v>
      </c>
      <c r="N102">
        <f t="shared" si="5"/>
        <v>-4.8961344537815563</v>
      </c>
      <c r="O102">
        <f t="shared" si="3"/>
        <v>8.1391035096392041</v>
      </c>
      <c r="P102">
        <f t="shared" si="4"/>
        <v>2.7634173010380496</v>
      </c>
    </row>
    <row r="103" spans="1:16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  <c r="M103">
        <f>C103-AVERAGE($C$2:$C$120)</f>
        <v>-2.7323529411764671</v>
      </c>
      <c r="N103">
        <f t="shared" si="5"/>
        <v>-5.9661344537815495</v>
      </c>
      <c r="O103">
        <f t="shared" si="3"/>
        <v>16.301585022244272</v>
      </c>
      <c r="P103">
        <f t="shared" si="4"/>
        <v>7.4657525951556902</v>
      </c>
    </row>
    <row r="104" spans="1:16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  <c r="M104">
        <f>C104-AVERAGE($C$2:$C$120)</f>
        <v>2.0876470588235332</v>
      </c>
      <c r="N104">
        <f t="shared" si="5"/>
        <v>6.1338655462184448</v>
      </c>
      <c r="O104">
        <f t="shared" si="3"/>
        <v>12.805346366781942</v>
      </c>
      <c r="P104">
        <f t="shared" si="4"/>
        <v>4.358270242214549</v>
      </c>
    </row>
    <row r="105" spans="1:16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  <c r="M105">
        <f>C105-AVERAGE($C$2:$C$120)</f>
        <v>1.9876470588235335</v>
      </c>
      <c r="N105">
        <f t="shared" si="5"/>
        <v>5.6938655462184471</v>
      </c>
      <c r="O105">
        <f t="shared" si="3"/>
        <v>11.317395106277749</v>
      </c>
      <c r="P105">
        <f t="shared" si="4"/>
        <v>3.9507408304498433</v>
      </c>
    </row>
    <row r="106" spans="1:16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  <c r="M106">
        <f>C106-AVERAGE($C$2:$C$120)</f>
        <v>2.3076470588235338</v>
      </c>
      <c r="N106">
        <f t="shared" si="5"/>
        <v>8.9338655462184562</v>
      </c>
      <c r="O106">
        <f t="shared" si="3"/>
        <v>20.616208551655923</v>
      </c>
      <c r="P106">
        <f t="shared" si="4"/>
        <v>5.3252349480969059</v>
      </c>
    </row>
    <row r="107" spans="1:16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  <c r="M107">
        <f>C107-AVERAGE($C$2:$C$120)</f>
        <v>0.8876470588235339</v>
      </c>
      <c r="N107">
        <f t="shared" si="5"/>
        <v>2.0438655462184556</v>
      </c>
      <c r="O107">
        <f t="shared" si="3"/>
        <v>1.8142312407315677</v>
      </c>
      <c r="P107">
        <f t="shared" si="4"/>
        <v>0.78791730103807023</v>
      </c>
    </row>
    <row r="108" spans="1:16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  <c r="M108">
        <f>C108-AVERAGE($C$2:$C$120)</f>
        <v>1.1076470588235328</v>
      </c>
      <c r="N108">
        <f t="shared" si="5"/>
        <v>3.1538655462184551</v>
      </c>
      <c r="O108">
        <f t="shared" si="3"/>
        <v>3.4933698961937463</v>
      </c>
      <c r="P108">
        <f t="shared" si="4"/>
        <v>1.2268820069204227</v>
      </c>
    </row>
    <row r="109" spans="1:16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  <c r="M109">
        <f>C109-AVERAGE($C$2:$C$120)</f>
        <v>2.547647058823534</v>
      </c>
      <c r="N109">
        <f t="shared" si="5"/>
        <v>6.0138655462184545</v>
      </c>
      <c r="O109">
        <f t="shared" si="3"/>
        <v>15.321206870983632</v>
      </c>
      <c r="P109">
        <f t="shared" si="4"/>
        <v>6.4905055363322033</v>
      </c>
    </row>
    <row r="110" spans="1:16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  <c r="M110">
        <f>C110-AVERAGE($C$2:$C$120)</f>
        <v>3.2776470588235327</v>
      </c>
      <c r="N110">
        <f t="shared" si="5"/>
        <v>8.7638655462184545</v>
      </c>
      <c r="O110">
        <f t="shared" si="3"/>
        <v>28.72485813148781</v>
      </c>
      <c r="P110">
        <f t="shared" si="4"/>
        <v>10.742970242214554</v>
      </c>
    </row>
    <row r="111" spans="1:16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  <c r="M111">
        <f>C111-AVERAGE($C$2:$C$120)</f>
        <v>2.0576470588235338</v>
      </c>
      <c r="N111">
        <f t="shared" si="5"/>
        <v>8.9438655462184471</v>
      </c>
      <c r="O111">
        <f t="shared" si="3"/>
        <v>18.403318635689526</v>
      </c>
      <c r="P111">
        <f t="shared" si="4"/>
        <v>4.233911418685139</v>
      </c>
    </row>
    <row r="112" spans="1:16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  <c r="M112">
        <f>C112-AVERAGE($C$2:$C$120)</f>
        <v>1.0376470588235325</v>
      </c>
      <c r="N112">
        <f t="shared" si="5"/>
        <v>3.9438655462184471</v>
      </c>
      <c r="O112">
        <f t="shared" si="3"/>
        <v>4.0923404844290356</v>
      </c>
      <c r="P112">
        <f t="shared" si="4"/>
        <v>1.0767114186851274</v>
      </c>
    </row>
    <row r="113" spans="1:16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  <c r="M113">
        <f>C113-AVERAGE($C$2:$C$120)</f>
        <v>-1.6723529411764666</v>
      </c>
      <c r="N113">
        <f t="shared" si="5"/>
        <v>-4.8661344537815552</v>
      </c>
      <c r="O113">
        <f t="shared" si="3"/>
        <v>8.137894265941723</v>
      </c>
      <c r="P113">
        <f t="shared" si="4"/>
        <v>2.7967643598615783</v>
      </c>
    </row>
    <row r="114" spans="1:16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  <c r="M114">
        <f>C114-AVERAGE($C$2:$C$120)</f>
        <v>-2.2223529411764664</v>
      </c>
      <c r="N114">
        <f t="shared" si="5"/>
        <v>-7.4161344537815523</v>
      </c>
      <c r="O114">
        <f t="shared" si="3"/>
        <v>16.48126821552156</v>
      </c>
      <c r="P114">
        <f t="shared" si="4"/>
        <v>4.9388525951556908</v>
      </c>
    </row>
    <row r="115" spans="1:16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  <c r="M115">
        <f>C115-AVERAGE($C$2:$C$120)</f>
        <v>0.22764705882353375</v>
      </c>
      <c r="N115">
        <f t="shared" si="5"/>
        <v>0.44386554621844709</v>
      </c>
      <c r="O115">
        <f t="shared" si="3"/>
        <v>0.10104468610973076</v>
      </c>
      <c r="P115">
        <f t="shared" si="4"/>
        <v>5.1823183391005438E-2</v>
      </c>
    </row>
    <row r="116" spans="1:16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  <c r="M116">
        <f>C116-AVERAGE($C$2:$C$120)</f>
        <v>-0.95235294117646685</v>
      </c>
      <c r="N116">
        <f t="shared" si="5"/>
        <v>-2.4661344537815495</v>
      </c>
      <c r="O116">
        <f t="shared" si="3"/>
        <v>2.3486304003954781</v>
      </c>
      <c r="P116">
        <f t="shared" si="4"/>
        <v>0.9069761245674669</v>
      </c>
    </row>
    <row r="117" spans="1:16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  <c r="M117">
        <f>C117-AVERAGE($C$2:$C$120)</f>
        <v>2.3076470588235338</v>
      </c>
      <c r="N117">
        <f t="shared" si="5"/>
        <v>5.7838655462184505</v>
      </c>
      <c r="O117">
        <f t="shared" si="3"/>
        <v>13.34712031636178</v>
      </c>
      <c r="P117">
        <f t="shared" si="4"/>
        <v>5.3252349480969059</v>
      </c>
    </row>
    <row r="118" spans="1:16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  <c r="M118">
        <f>C118-AVERAGE($C$2:$C$120)</f>
        <v>1.5576470588235338</v>
      </c>
      <c r="N118">
        <f t="shared" si="5"/>
        <v>3.0838655462184477</v>
      </c>
      <c r="O118">
        <f t="shared" si="3"/>
        <v>4.8035740978743959</v>
      </c>
      <c r="P118">
        <f t="shared" si="4"/>
        <v>2.4262643598616056</v>
      </c>
    </row>
    <row r="119" spans="1:16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  <c r="M119">
        <f>C119-AVERAGE($C$2:$C$120)</f>
        <v>9.7647058823532973E-2</v>
      </c>
      <c r="N119">
        <f t="shared" si="5"/>
        <v>1.1538655462184551</v>
      </c>
      <c r="O119">
        <f t="shared" si="3"/>
        <v>0.11267157686604148</v>
      </c>
      <c r="P119">
        <f t="shared" si="4"/>
        <v>9.5349480968865089E-3</v>
      </c>
    </row>
    <row r="120" spans="1:16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  <c r="M120">
        <f>C120-AVERAGE($C$2:$C$120)</f>
        <v>3.0276470588235327</v>
      </c>
      <c r="N120">
        <f t="shared" si="5"/>
        <v>8.413865546218446</v>
      </c>
      <c r="O120">
        <f t="shared" si="3"/>
        <v>25.474215274344935</v>
      </c>
      <c r="P120">
        <f t="shared" si="4"/>
        <v>9.1666467128027875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5546875" defaultRowHeight="15.75" customHeight="1" x14ac:dyDescent="0.25"/>
  <sheetData>
    <row r="1" spans="1:60" ht="42.45" customHeight="1" x14ac:dyDescent="0.25">
      <c r="A1" s="19" t="s">
        <v>0</v>
      </c>
      <c r="B1" s="21" t="s">
        <v>1</v>
      </c>
      <c r="C1" s="16" t="s">
        <v>2</v>
      </c>
      <c r="D1" s="17"/>
      <c r="E1" s="17"/>
      <c r="F1" s="17"/>
      <c r="G1" s="18"/>
      <c r="H1" s="22" t="s">
        <v>3</v>
      </c>
      <c r="I1" s="17"/>
      <c r="J1" s="17"/>
      <c r="K1" s="17"/>
      <c r="L1" s="18"/>
      <c r="M1" s="16" t="s">
        <v>4</v>
      </c>
      <c r="N1" s="17"/>
      <c r="O1" s="17"/>
      <c r="P1" s="17"/>
      <c r="Q1" s="18"/>
      <c r="R1" s="23" t="s">
        <v>5</v>
      </c>
      <c r="S1" s="17"/>
      <c r="T1" s="17"/>
      <c r="U1" s="17"/>
      <c r="V1" s="18"/>
      <c r="W1" s="24" t="s">
        <v>6</v>
      </c>
      <c r="X1" s="17"/>
      <c r="Y1" s="17"/>
      <c r="Z1" s="17"/>
      <c r="AA1" s="18"/>
      <c r="AB1" s="25" t="s">
        <v>7</v>
      </c>
      <c r="AC1" s="17"/>
      <c r="AD1" s="18"/>
      <c r="AE1" s="16" t="s">
        <v>8</v>
      </c>
      <c r="AF1" s="17"/>
      <c r="AG1" s="17"/>
      <c r="AH1" s="17"/>
      <c r="AI1" s="18"/>
      <c r="AJ1" s="23" t="s">
        <v>9</v>
      </c>
      <c r="AK1" s="17"/>
      <c r="AL1" s="17"/>
      <c r="AM1" s="17"/>
      <c r="AN1" s="18"/>
      <c r="AO1" s="16" t="s">
        <v>10</v>
      </c>
      <c r="AP1" s="17"/>
      <c r="AQ1" s="17"/>
      <c r="AR1" s="17"/>
      <c r="AS1" s="18"/>
      <c r="AT1" s="23" t="s">
        <v>11</v>
      </c>
      <c r="AU1" s="17"/>
      <c r="AV1" s="17"/>
      <c r="AW1" s="17"/>
      <c r="AX1" s="18"/>
      <c r="AY1" s="16" t="s">
        <v>12</v>
      </c>
      <c r="AZ1" s="17"/>
      <c r="BA1" s="17"/>
      <c r="BB1" s="17"/>
      <c r="BC1" s="18"/>
      <c r="BD1" s="1"/>
      <c r="BE1" s="2"/>
      <c r="BF1" s="2"/>
      <c r="BG1" s="2"/>
      <c r="BH1" s="2"/>
    </row>
    <row r="2" spans="1:60" ht="13.2" x14ac:dyDescent="0.25">
      <c r="A2" s="20"/>
      <c r="B2" s="20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3.2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3.2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3.2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3.2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3.2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3.2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3.2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3.2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3.2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3.2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3.2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3.2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3.2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3.2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3.2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3.2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3.2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3.2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3.2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3.2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3.2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3.2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3.2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3.2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3.2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3.2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3.2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3.2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3.2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3.2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3.2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3.2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3.2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3.2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3.2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3.2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3.2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3.2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3.2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3.2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3.2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3.2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3.2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3.2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3.2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3.2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3.2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3.2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3.2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3.2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3.2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3.2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3.2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3.2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3.2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3.2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3.2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3.2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3.2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3.2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3.2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3.2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3.2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3.2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3.2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3.2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3.2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3.2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3.2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3.2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3.2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3.2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3.2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3.2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3.2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3.2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3.2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3.2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3.2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3.2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3.2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3.2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3.2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3.2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3.2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3.2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3.2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3.2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3.2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3.2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3.2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3.2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3.2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3.2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3.2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3.2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3.2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3.2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3.2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3.2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3.2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3.2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3.2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3.2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3.2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3.2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3.2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3.2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3.2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3.2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3.2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3.2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3.2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3.2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3.2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3.2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3.2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3.2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3.2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3.2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3.2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3.2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3.2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3.2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3.2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3.2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3.2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3.2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3.2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3.2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3.2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3.2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3.2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3.2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3.2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3.2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3.2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3.2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3.2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3.2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3.2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3.2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3.2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3.2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3.2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3.2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3.2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3.2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3.2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3.2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3.2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3.2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3.2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3.2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3.2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3.2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3.2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3.2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3.2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3.2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3.2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3.2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3.2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3.2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3.2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3.2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3.2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3.2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3.2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3.2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3.2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3.2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3.2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3.2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3.2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3.2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3.2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3.2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3.2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3.2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3.2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3.2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3.2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3.2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3.2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3.2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3.2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3.2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3.2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3.2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3.2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3.2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3.2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3.2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3.2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3.2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3.2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3.2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3.2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3.2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3.2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3.2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3.2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3.2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3.2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3.2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3.2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3.2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3.2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3.2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3.2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3.2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3.2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3.2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3.2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3.2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3.2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3.2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3.2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3.2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3.2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3.2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3.2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3.2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3.2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3.2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3.2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3.2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3.2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3.2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3.2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3.2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3.2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3.2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3.2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3.2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3.2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3.2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3.2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3.2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3.2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3.2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3.2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3.2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3.2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3.2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3.2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3.2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3.2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3.2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3.2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3.2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3.2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3.2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3.2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3.2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3.2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3.2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3.2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3.2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3.2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3.2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3.2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3.2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3.2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3.2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3.2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3.2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3.2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3.2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3.2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3.2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3.2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3.2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3.2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3.2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3.2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3.2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3.2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3.2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3.2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3.2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3.2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3.2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3.2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3.2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3.2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3.2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3.2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3.2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3.2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3.2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3.2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3.2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6" x14ac:dyDescent="0.3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6" x14ac:dyDescent="0.3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6" x14ac:dyDescent="0.3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6" x14ac:dyDescent="0.3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6" x14ac:dyDescent="0.3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6" x14ac:dyDescent="0.3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6" x14ac:dyDescent="0.3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6" x14ac:dyDescent="0.3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6" x14ac:dyDescent="0.3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6" x14ac:dyDescent="0.3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6" x14ac:dyDescent="0.3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6" x14ac:dyDescent="0.3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6" x14ac:dyDescent="0.3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6" x14ac:dyDescent="0.3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3.2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3.2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3.2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3.2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3.2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3.2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3.2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3.2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3.2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3.2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3.2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3.2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3.2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3.2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3.2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3.2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3.2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3.2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3.2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3.2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3.2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3.2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3.2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3.2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3.2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3.2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3.2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3.2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3.2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3.2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3.2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3.2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3.2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3.2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3.2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3.2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3.2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3.2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3.2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3.2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3.2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3.2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3.2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3.2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3.2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3.2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3.2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3.2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3.2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3.2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3.2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3.2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3.2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3.2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3.2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3.2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3.2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3.2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3.2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3.2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3.2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3.2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3.2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3.2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3.2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3.2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3.2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3.2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3.2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3.2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3.2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3.2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3.2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3.2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3.2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3.2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3.2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3.2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3.2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3.2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3.2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3.2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3.2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3.2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3.2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3.2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3.2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3.2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3.2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3.2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3.2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3.2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3.2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3.2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3.2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3.2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3.2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3.2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3.2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3.2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3.2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3.2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3.2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3.2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3.2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3.2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3.2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3.2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3.2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3.2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3.2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3.2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3.2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3.2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3.2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3.2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3.2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3.2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3.2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3.2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3.2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3.2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3.2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3.2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3.2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3.2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3.2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3.2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3.2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3.2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3.2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3.2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3.2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3.2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3.2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3.2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3.2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3.2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3.2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3.2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3.2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3.2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3.2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3.2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3.2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3.2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3.2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3.2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3.2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3.2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3.2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3.2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3.2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3.2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3.2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3.2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3.2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3.2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3.2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3.2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3.2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3.2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3.2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3.2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3.2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3.2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3.2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3.2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3.2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3.2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3.2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3.2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3.2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3.2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3.2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3.2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3.2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3.2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3.2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3.2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3.2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3.2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3.2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3.2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3.2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3.2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Athaurahman</dc:creator>
  <cp:lastModifiedBy>Muhammad Athaurahman</cp:lastModifiedBy>
  <dcterms:created xsi:type="dcterms:W3CDTF">2026-02-09T12:02:56Z</dcterms:created>
  <dcterms:modified xsi:type="dcterms:W3CDTF">2026-02-09T12:02:56Z</dcterms:modified>
</cp:coreProperties>
</file>