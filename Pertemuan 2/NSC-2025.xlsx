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urahman\Downloads\"/>
    </mc:Choice>
  </mc:AlternateContent>
  <xr:revisionPtr revIDLastSave="0" documentId="13_ncr:1_{0FC9A865-AB86-4248-8CAC-F593BF8DF8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 a="1"/>
  <c r="N7" i="6" s="1"/>
  <c r="O5" i="6"/>
  <c r="N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<sst xmlns="http://schemas.openxmlformats.org/spreadsheetml/2006/main" count="2290" uniqueCount="1716">
  <si>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</si>
  <si>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</si>
  <si>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</si>
  <si>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</si>
  <si>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</si>
  <si>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</si>
  <si>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</si>
  <si>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</si>
  <si>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</si>
  <si>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</si>
  <si>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</si>
  <si>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</si>
  <si>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</si>
  <si>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</si>
  <si>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</si>
  <si>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</si>
  <si>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</si>
  <si>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</si>
  <si>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</si>
  <si>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</si>
  <si>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</si>
  <si>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</si>
  <si>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</si>
  <si>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</si>
  <si>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</si>
  <si>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</si>
  <si>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</si>
  <si>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</si>
  <si>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</si>
  <si>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</si>
  <si>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</si>
  <si>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</si>
  <si>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</si>
  <si>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</si>
  <si>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</si>
  <si>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</si>
  <si>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</si>
  <si>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</si>
  <si>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</si>
  <si>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</si>
  <si>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</si>
  <si>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</si>
  <si>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</si>
  <si>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</si>
  <si>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</si>
  <si>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</si>
  <si>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</si>
  <si>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</si>
  <si>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</si>
  <si>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</si>
  <si>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</si>
  <si>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</si>
  <si>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</si>
  <si>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</si>
  <si>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</si>
  <si>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</si>
  <si>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</si>
  <si>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</si>
  <si>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</si>
  <si>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</si>
  <si>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</si>
  <si>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</si>
  <si>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</si>
  <si>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</si>
  <si>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</si>
  <si>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</si>
  <si>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</si>
  <si>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</si>
  <si>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</si>
  <si>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</si>
  <si>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</si>
  <si>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</si>
  <si>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</si>
  <si>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</si>
  <si>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</si>
  <si>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</si>
  <si>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</si>
  <si>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</si>
  <si>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</si>
  <si>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</si>
  <si>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</si>
  <si>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</si>
  <si>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</si>
  <si>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</si>
  <si>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</si>
  <si>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</si>
  <si>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</si>
  <si>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</si>
  <si>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</si>
  <si>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</si>
  <si>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</si>
  <si>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</si>
  <si>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</si>
  <si>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</si>
  <si>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</si>
  <si>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</si>
  <si>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</si>
  <si>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</si>
  <si>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</si>
  <si>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</si>
  <si>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</si>
  <si>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</si>
  <si>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</si>
  <si>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</si>
  <si>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</si>
  <si>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</si>
  <si>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</si>
  <si>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</si>
  <si>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</si>
  <si>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</si>
  <si>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</si>
  <si>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</si>
  <si>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</si>
  <si>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</si>
  <si>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</si>
  <si>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</si>
  <si>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</si>
  <si>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</si>
  <si>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</si>
  <si>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</si>
  <si>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</si>
  <si>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</si>
  <si>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</si>
  <si>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</si>
  <si>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</si>
  <si>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</si>
  <si>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</si>
  <si>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</si>
  <si>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</si>
  <si>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</si>
  <si>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</si>
  <si>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</si>
  <si>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</si>
  <si>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</si>
  <si>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</si>
  <si>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</si>
  <si>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</si>
  <si>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</si>
  <si>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</si>
  <si>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</si>
  <si>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</si>
  <si>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</si>
  <si>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</si>
  <si>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</si>
  <si>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</si>
  <si>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</si>
  <si>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</si>
  <si>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</si>
  <si>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</si>
  <si>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</si>
  <si>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</si>
  <si>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</si>
  <si>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</si>
  <si>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</si>
  <si>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</si>
  <si>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</si>
  <si>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</si>
  <si>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</si>
  <si>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</si>
  <si>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</si>
  <si>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</si>
  <si>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</si>
  <si>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</si>
  <si>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</si>
  <si>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</si>
  <si>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</si>
  <si>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</si>
  <si>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</si>
  <si>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</si>
  <si>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</si>
  <si>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</si>
  <si>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</si>
  <si>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</si>
  <si>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</si>
  <si>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</si>
  <si>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</si>
  <si>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</si>
  <si>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</si>
  <si>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</si>
  <si>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</si>
  <si>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</si>
  <si>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</si>
  <si>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</si>
  <si>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</si>
  <si>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</si>
  <si>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</si>
  <si>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</si>
  <si>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</si>
  <si>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</si>
  <si>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</si>
  <si>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</si>
  <si>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</si>
  <si>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</si>
  <si>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</si>
  <si>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</si>
  <si>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</si>
  <si>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</si>
  <si>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</si>
  <si>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</si>
  <si>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</si>
  <si>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</si>
  <si>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</si>
  <si>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</si>
  <si>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</si>
  <si>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</si>
  <si>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</si>
  <si>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</si>
  <si>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</si>
  <si>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</si>
  <si>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</si>
  <si>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</si>
  <si>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</si>
  <si>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</si>
  <si>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</si>
  <si>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</si>
  <si>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</si>
  <si>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</si>
  <si>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</si>
  <si>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</si>
  <si>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</si>
  <si>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</si>
  <si>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</si>
  <si>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</si>
  <si>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</si>
  <si>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</si>
  <si>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</si>
  <si>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</si>
  <si>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</si>
  <si>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</si>
  <si>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</si>
  <si>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</si>
  <si>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</si>
  <si>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</si>
  <si>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</si>
  <si>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</si>
  <si>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</si>
  <si>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</si>
  <si>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</si>
  <si>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</si>
  <si>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</si>
  <si>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</si>
  <si>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</si>
  <si>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</si>
  <si>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</si>
  <si>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</si>
  <si>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</si>
  <si>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</si>
  <si>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</si>
  <si>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</si>
  <si>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</si>
  <si>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</si>
  <si>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</si>
  <si>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</si>
  <si>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</si>
  <si>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</si>
  <si>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</si>
  <si>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</si>
  <si>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</si>
  <si>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</si>
  <si>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</si>
  <si>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</si>
  <si>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</si>
  <si>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</si>
  <si>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</si>
  <si>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</si>
  <si>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</si>
  <si>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</si>
  <si>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</si>
  <si>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</si>
  <si>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</si>
  <si>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</si>
  <si>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</si>
  <si>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</si>
  <si>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</si>
  <si>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</si>
  <si>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</si>
  <si>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</si>
  <si>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</si>
  <si>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</si>
  <si>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</si>
  <si>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</si>
  <si>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</si>
  <si>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</si>
  <si>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</si>
  <si>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</si>
  <si>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</si>
  <si>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</si>
  <si>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</si>
  <si>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</si>
  <si>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</si>
  <si>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</si>
  <si>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</si>
  <si>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</si>
  <si>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</si>
  <si>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</si>
  <si>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</si>
  <si>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</si>
  <si>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</si>
  <si>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</si>
  <si>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</si>
  <si>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</si>
  <si>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</si>
  <si>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</si>
  <si>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</si>
  <si>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</si>
  <si>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</si>
  <si>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</si>
  <si>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</si>
  <si>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</si>
  <si>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</si>
  <si>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</si>
  <si>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</si>
  <si>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</si>
  <si>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</si>
  <si>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</si>
  <si>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</si>
  <si>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</si>
  <si>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</si>
  <si>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</si>
  <si>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</si>
  <si>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</si>
  <si>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</si>
  <si>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</si>
  <si>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</si>
  <si>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</si>
  <si>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</si>
  <si>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</si>
  <si>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</si>
  <si>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</si>
  <si>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</si>
  <si>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</si>
  <si>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</si>
  <si>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</si>
  <si>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</si>
  <si>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</si>
  <si>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</si>
  <si>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</si>
  <si>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</si>
  <si>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</si>
  <si>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</si>
  <si>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</si>
  <si>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</si>
  <si>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</si>
  <si>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</si>
  <si>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</si>
  <si>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</si>
  <si>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</si>
  <si>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</si>
  <si>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</si>
  <si>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</si>
  <si>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</si>
  <si>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</si>
  <si>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</si>
  <si>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</si>
  <si>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</si>
  <si>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</si>
  <si>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</si>
  <si>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</si>
  <si>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</si>
  <si>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</si>
  <si>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</si>
  <si>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</si>
  <si>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</si>
  <si>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</si>
  <si>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</si>
  <si>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</si>
  <si>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</si>
  <si>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</si>
  <si>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</si>
  <si>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</si>
  <si>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</si>
  <si>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</si>
  <si>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</si>
  <si>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</si>
  <si>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</si>
  <si>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</si>
  <si>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</si>
  <si>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</si>
  <si>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</si>
  <si>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</si>
  <si>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</si>
  <si>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</si>
  <si>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</si>
  <si>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</si>
  <si>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</si>
  <si>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</si>
  <si>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</si>
  <si>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</si>
  <si>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</si>
  <si>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</si>
  <si>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</si>
  <si>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</si>
  <si>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</si>
  <si>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</si>
  <si>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</si>
  <si>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</si>
  <si>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</si>
  <si>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</si>
  <si>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</si>
  <si>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</si>
  <si>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</si>
  <si>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</si>
  <si>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</si>
  <si>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</si>
  <si>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</si>
  <si>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</si>
  <si>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</si>
  <si>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</si>
  <si>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</si>
  <si>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</si>
  <si>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</si>
  <si>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</si>
  <si>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</si>
  <si>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</si>
  <si>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</si>
  <si>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</si>
  <si>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</si>
  <si>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</si>
  <si>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</si>
  <si>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</si>
  <si>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</si>
  <si>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</si>
  <si>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</si>
  <si>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</si>
  <si>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</si>
  <si>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</si>
  <si>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</si>
  <si>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</si>
  <si>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</si>
  <si>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</si>
  <si>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</si>
  <si>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</si>
  <si>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</si>
  <si>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</si>
  <si>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</si>
  <si>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</si>
  <si>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</si>
  <si>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</si>
  <si>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</si>
  <si>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</si>
  <si>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</si>
  <si>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</si>
  <si>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</si>
  <si>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</si>
  <si>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</si>
  <si>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</si>
  <si>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</si>
  <si>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</si>
  <si>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</si>
  <si>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</si>
  <si>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</si>
  <si>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</si>
  <si>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</si>
  <si>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</si>
  <si>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</si>
  <si>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</si>
  <si>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</si>
  <si>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</si>
  <si>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</si>
  <si>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</si>
  <si>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</si>
  <si>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</si>
  <si>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</si>
  <si>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</si>
  <si>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</si>
  <si>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</si>
  <si>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</si>
  <si>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</si>
  <si>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</si>
  <si>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</si>
  <si>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</si>
  <si>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</si>
  <si>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</si>
  <si>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</si>
  <si>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</si>
  <si>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</si>
  <si>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</si>
  <si>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</si>
  <si>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</si>
  <si>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</si>
  <si>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</si>
  <si>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</si>
  <si>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</si>
  <si>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</si>
  <si>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</si>
  <si>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</si>
  <si>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</si>
  <si>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</si>
  <si>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</si>
  <si>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</si>
  <si>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</si>
  <si>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</si>
  <si>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</si>
  <si>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</si>
  <si>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</si>
  <si>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</si>
  <si>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</si>
  <si>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</si>
  <si>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</si>
  <si>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</si>
  <si>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</si>
  <si>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</si>
  <si>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</si>
  <si>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</si>
  <si>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</si>
  <si>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</si>
  <si>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</si>
  <si>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</si>
  <si>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</si>
  <si>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</si>
  <si>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</si>
  <si>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</si>
  <si>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</si>
  <si>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</si>
  <si>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</si>
  <si>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</si>
  <si>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</si>
  <si>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</si>
  <si>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</si>
  <si>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</si>
  <si>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</si>
  <si>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</si>
  <si>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</si>
  <si>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</si>
  <si>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</si>
  <si>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</si>
  <si>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</si>
  <si>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</si>
  <si>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</si>
  <si>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</si>
  <si>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</si>
  <si>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</si>
  <si>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</si>
  <si>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</si>
  <si>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</si>
  <si>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</si>
  <si>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</si>
  <si>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</si>
  <si>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</si>
  <si>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</si>
  <si>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</si>
  <si>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</si>
  <si>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</si>
  <si>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</si>
  <si>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</si>
  <si>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</si>
  <si>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</si>
  <si>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</si>
  <si>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</si>
  <si>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</si>
  <si>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</si>
  <si>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</si>
  <si>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</si>
  <si>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</si>
  <si>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</si>
  <si>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</si>
  <si>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</si>
  <si>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</si>
  <si>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</si>
  <si>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</si>
  <si>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</si>
  <si>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</si>
  <si>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</si>
  <si>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</si>
  <si>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</si>
  <si>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</si>
  <si>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</si>
  <si>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</si>
  <si>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</si>
  <si>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</si>
  <si>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</si>
  <si>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</si>
  <si>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</si>
  <si>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</si>
  <si>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</si>
  <si>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</si>
  <si>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</si>
  <si>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</si>
  <si>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</si>
  <si>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</si>
  <si>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</si>
  <si>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</si>
  <si>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</si>
  <si>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</si>
  <si>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</si>
  <si>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</si>
  <si>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</si>
  <si>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</si>
  <si>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</si>
  <si>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</si>
  <si>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</si>
  <si>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</si>
  <si>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</si>
  <si>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</si>
  <si>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</si>
  <si>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</si>
  <si>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</si>
  <si>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</si>
  <si>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</si>
  <si>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</si>
  <si>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</si>
  <si>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</si>
  <si>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</si>
  <si>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</si>
  <si>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</si>
  <si>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</si>
  <si>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</si>
  <si>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</si>
  <si>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</si>
  <si>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</si>
  <si>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</si>
  <si>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</si>
  <si>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</si>
  <si>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</si>
  <si>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</si>
  <si>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</si>
  <si>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</si>
  <si>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</si>
  <si>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</si>
  <si>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</si>
  <si>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</si>
  <si>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</si>
  <si>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</si>
  <si>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</si>
  <si>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</si>
  <si>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</si>
  <si>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</si>
  <si>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</si>
  <si>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</si>
  <si>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</si>
  <si>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</si>
  <si>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</si>
  <si>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</si>
  <si>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</si>
  <si>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</si>
  <si>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</si>
  <si>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</si>
  <si>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</si>
  <si>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</si>
  <si>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</si>
  <si>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</si>
  <si>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</si>
  <si>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</si>
  <si>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</si>
  <si>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</si>
  <si>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</si>
  <si>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</si>
  <si>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</si>
  <si>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</si>
  <si>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</si>
  <si>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</si>
  <si>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</si>
  <si>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</si>
  <si>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</si>
  <si>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</si>
  <si>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</si>
  <si>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</si>
  <si>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</si>
  <si>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</si>
  <si>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</si>
  <si>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</si>
  <si>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</si>
  <si>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</si>
  <si>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</si>
  <si>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</si>
  <si>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</si>
  <si>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</si>
  <si>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</si>
  <si>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</si>
  <si>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</si>
  <si>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</si>
  <si>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</si>
  <si>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</si>
  <si>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</si>
  <si>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</si>
  <si>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</si>
  <si>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</si>
  <si>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</si>
  <si>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</si>
  <si>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</si>
  <si>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</si>
  <si>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</si>
  <si>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</si>
  <si>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</si>
  <si>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</si>
  <si>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</si>
  <si>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</si>
  <si>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</si>
  <si>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</si>
  <si>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</si>
  <si>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</si>
  <si>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</si>
  <si>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</si>
  <si>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</si>
  <si>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</si>
  <si>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</si>
  <si>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</si>
  <si>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</si>
  <si>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</si>
  <si>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</si>
  <si>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</si>
  <si>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</si>
  <si>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</si>
  <si>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</si>
  <si>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</si>
  <si>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</si>
  <si>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</si>
  <si>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</si>
  <si>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</si>
  <si>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</si>
  <si>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</si>
  <si>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</si>
  <si>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</si>
  <si>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</si>
  <si>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</si>
  <si>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</si>
  <si>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</si>
  <si>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</si>
  <si>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</si>
  <si>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</si>
  <si>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</si>
  <si>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</si>
  <si>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</si>
  <si>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</si>
  <si>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</si>
  <si>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</si>
  <si>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</si>
  <si>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</si>
  <si>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</si>
  <si>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</si>
  <si>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</si>
  <si>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</si>
  <si>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</si>
  <si>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</si>
  <si>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</si>
  <si>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</si>
  <si>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</si>
  <si>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</si>
  <si>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</si>
  <si>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</si>
  <si>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</si>
  <si>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</si>
  <si>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</si>
  <si>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</si>
  <si>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</si>
  <si>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</si>
  <si>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</si>
  <si>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</si>
  <si>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</si>
  <si>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</si>
  <si>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</si>
  <si>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</si>
  <si>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</si>
  <si>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</si>
  <si>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</si>
  <si>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</si>
  <si>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</si>
  <si>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</si>
  <si>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</si>
  <si>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</si>
  <si>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</si>
  <si>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</si>
  <si>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</si>
  <si>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</si>
  <si>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</si>
  <si>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</si>
  <si>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</si>
  <si>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</si>
  <si>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</si>
  <si>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</si>
  <si>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</si>
  <si>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</si>
  <si>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</si>
  <si>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</si>
  <si>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</si>
  <si>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</si>
  <si>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</si>
  <si>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</si>
  <si>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</si>
  <si>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</si>
  <si>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</si>
  <si>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</si>
  <si>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</si>
  <si>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</si>
  <si>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</si>
  <si>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</si>
  <si>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</si>
  <si>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</si>
  <si>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</si>
  <si>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</si>
  <si>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</si>
  <si>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</si>
  <si>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</si>
  <si>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</si>
  <si>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</si>
  <si>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</si>
  <si>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</si>
  <si>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</si>
  <si>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</si>
  <si>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</si>
  <si>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</si>
  <si>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</si>
  <si>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</si>
  <si>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</si>
  <si>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</si>
  <si>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</si>
  <si>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</si>
  <si>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</si>
  <si>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</si>
  <si>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</si>
  <si>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</si>
  <si>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</si>
  <si>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</si>
  <si>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</si>
  <si>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</si>
  <si>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</si>
  <si>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</si>
  <si>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</si>
  <si>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</si>
  <si>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</si>
  <si>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</si>
  <si>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</si>
  <si>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</si>
  <si>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</si>
  <si>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</si>
  <si>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</si>
  <si>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</si>
  <si>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</si>
  <si>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</si>
  <si>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</si>
  <si>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</si>
  <si>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</si>
  <si>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</si>
  <si>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</si>
  <si>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</si>
  <si>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</si>
  <si>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</si>
  <si>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</si>
  <si>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</si>
  <si>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</si>
  <si>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</si>
  <si>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</si>
  <si>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</si>
  <si>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</si>
  <si>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</si>
  <si>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</si>
  <si>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</si>
  <si>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</si>
  <si>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</si>
  <si>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</si>
  <si>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</si>
  <si>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</si>
  <si>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</si>
  <si>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</si>
  <si>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</si>
  <si>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</si>
  <si>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</si>
  <si>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</si>
  <si>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</si>
  <si>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</si>
  <si>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</si>
  <si>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</si>
  <si>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</si>
  <si>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</si>
  <si>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</si>
  <si>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</si>
  <si>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</si>
  <si>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</si>
  <si>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</si>
  <si>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</si>
  <si>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</si>
  <si>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</si>
  <si>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</si>
  <si>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</si>
  <si>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</si>
  <si>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</si>
  <si>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</si>
  <si>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</si>
  <si>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</si>
  <si>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</si>
  <si>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</si>
  <si>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</si>
  <si>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</si>
  <si>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</si>
  <si>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</si>
  <si>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</si>
  <si>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</si>
  <si>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</si>
  <si>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</si>
  <si>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</si>
  <si>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</si>
  <si>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</si>
  <si>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</si>
  <si>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</si>
  <si>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</si>
  <si>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</si>
  <si>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</si>
  <si>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</si>
  <si>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</si>
  <si>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</si>
  <si>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</si>
  <si>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</si>
  <si>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</si>
  <si>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</si>
  <si>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</si>
  <si>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</si>
  <si>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</si>
  <si>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</si>
  <si>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</si>
  <si>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</si>
  <si>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</si>
  <si>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</si>
  <si>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</si>
  <si>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</si>
  <si>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</si>
  <si>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</si>
  <si>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</si>
  <si>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</si>
  <si>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</si>
  <si>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</si>
  <si>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</si>
  <si>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</si>
  <si>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</si>
  <si>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</si>
  <si>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</si>
  <si>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</si>
  <si>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</si>
  <si>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</si>
  <si>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</si>
  <si>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</si>
  <si>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</si>
  <si>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</si>
  <si>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</si>
  <si>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</si>
  <si>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</si>
  <si>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</si>
  <si>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</si>
  <si>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</si>
  <si>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</si>
  <si>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</si>
  <si>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</si>
  <si>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</si>
  <si>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</si>
  <si>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</si>
  <si>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</si>
  <si>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</si>
  <si>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</si>
  <si>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</si>
  <si>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</si>
  <si>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</si>
  <si>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</si>
  <si>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</si>
  <si>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</si>
  <si>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</si>
  <si>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</si>
  <si>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</si>
  <si>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</si>
  <si>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</si>
  <si>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</si>
  <si>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</si>
  <si>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</si>
  <si>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</si>
  <si>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</si>
  <si>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</si>
  <si>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</si>
  <si>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</si>
  <si>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</si>
  <si>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</si>
  <si>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</si>
  <si>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</si>
  <si>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</si>
  <si>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</si>
  <si>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</si>
  <si>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</si>
  <si>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</si>
  <si>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</si>
  <si>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</si>
  <si>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</si>
  <si>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</si>
  <si>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</si>
  <si>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</si>
  <si>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</si>
  <si>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</si>
  <si>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</si>
  <si>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</si>
  <si>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</si>
  <si>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</si>
  <si>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</si>
  <si>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</si>
  <si>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</si>
  <si>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</si>
  <si>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</si>
  <si>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</si>
  <si>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</si>
  <si>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</si>
  <si>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</si>
  <si>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</si>
  <si>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</si>
  <si>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</si>
  <si>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</si>
  <si>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</si>
  <si>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</si>
  <si>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</si>
  <si>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</si>
  <si>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</si>
  <si>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</si>
  <si>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</si>
  <si>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</si>
  <si>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</si>
  <si>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</si>
  <si>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</si>
  <si>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</si>
  <si>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</si>
  <si>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</si>
  <si>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</si>
  <si>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</si>
  <si>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</si>
  <si>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</si>
  <si>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</si>
  <si>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</si>
  <si>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</si>
  <si>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</si>
  <si>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</si>
  <si>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</si>
  <si>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</si>
  <si>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</si>
  <si>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</si>
  <si>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</si>
  <si>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</si>
  <si>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</si>
  <si>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</si>
  <si>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</si>
  <si>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</si>
  <si>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</si>
  <si>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</si>
  <si>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</si>
  <si>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</si>
  <si>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</si>
  <si>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</si>
  <si>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</si>
  <si>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</si>
  <si>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</si>
  <si>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</si>
  <si>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</si>
  <si>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</si>
  <si>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</si>
  <si>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</si>
  <si>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</si>
  <si>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</si>
  <si>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</si>
  <si>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</si>
  <si>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</si>
  <si>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</si>
  <si>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</si>
  <si>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</si>
  <si>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</si>
  <si>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</si>
  <si>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</si>
  <si>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</si>
  <si>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</si>
  <si>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</si>
  <si>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</si>
  <si>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</si>
  <si>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</si>
  <si>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</si>
  <si>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</si>
  <si>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</si>
  <si>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</si>
  <si>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</si>
  <si>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</si>
  <si>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</si>
  <si>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</si>
  <si>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</si>
  <si>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</si>
  <si>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</si>
  <si>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</si>
  <si>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</si>
  <si>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</si>
  <si>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</si>
  <si>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</si>
  <si>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</si>
  <si>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</si>
  <si>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</si>
  <si>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</si>
  <si>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</si>
  <si>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</si>
  <si>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</si>
  <si>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</si>
  <si>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</si>
  <si>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</si>
  <si>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</si>
  <si>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</si>
  <si>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</si>
  <si>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</si>
  <si>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</si>
  <si>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</si>
  <si>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</si>
  <si>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</si>
  <si>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</si>
  <si>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</si>
  <si>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</si>
  <si>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</si>
  <si>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</si>
  <si>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</si>
  <si>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</si>
  <si>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</si>
  <si>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</si>
  <si>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</si>
  <si>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</si>
  <si>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</si>
  <si>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</si>
  <si>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</si>
  <si>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</si>
  <si>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</si>
  <si>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</si>
  <si>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</si>
  <si>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</si>
  <si>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</si>
  <si>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</si>
  <si>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</si>
  <si>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</si>
  <si>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</si>
  <si>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</si>
  <si>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</si>
  <si>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</si>
  <si>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</si>
  <si>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</si>
  <si>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</si>
  <si>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</si>
  <si>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</si>
  <si>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</si>
  <si>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</si>
  <si>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</si>
  <si>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</si>
  <si>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</si>
  <si>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</si>
  <si>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</si>
  <si>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</si>
  <si>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</si>
  <si>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</si>
  <si>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</si>
  <si>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</si>
  <si>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</si>
  <si>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</si>
  <si>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</si>
  <si>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</si>
  <si>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</si>
  <si>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</si>
  <si>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</si>
  <si>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</si>
  <si>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</si>
  <si>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</si>
  <si>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</si>
  <si>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</si>
  <si>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</si>
  <si>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</si>
  <si>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</si>
  <si>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</si>
  <si>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</si>
  <si>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</si>
  <si>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</si>
  <si>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</si>
  <si>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</si>
  <si>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</si>
  <si>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</si>
  <si>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</si>
  <si>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</si>
  <si>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</si>
  <si>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</si>
  <si>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</si>
  <si>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</si>
  <si>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</si>
  <si>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</si>
  <si>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</si>
  <si>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</si>
  <si>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</si>
  <si>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</si>
  <si>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</si>
  <si>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</si>
  <si>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</si>
  <si>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</si>
  <si>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</si>
  <si>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</si>
  <si>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</si>
  <si>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</si>
  <si>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</si>
  <si>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</si>
  <si>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</si>
  <si>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</si>
  <si>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</si>
  <si>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</si>
  <si>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</si>
  <si>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</si>
  <si>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</si>
  <si>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</si>
  <si>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</si>
  <si>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</si>
  <si>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</si>
  <si>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</si>
  <si>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</si>
  <si>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</si>
  <si>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</si>
  <si>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</si>
  <si>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</si>
  <si>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</si>
  <si>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</si>
  <si>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</si>
  <si>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</si>
  <si>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</si>
  <si>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</si>
  <si>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</si>
  <si>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</si>
  <si>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</si>
  <si>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</si>
  <si>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</si>
  <si>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</si>
  <si>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</si>
  <si>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</si>
  <si>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</si>
  <si>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</si>
  <si>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</si>
  <si>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</si>
  <si>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</si>
  <si>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</si>
  <si>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</si>
  <si>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</si>
  <si>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</si>
  <si>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</si>
  <si>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</si>
  <si>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</si>
  <si>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</si>
  <si>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</si>
  <si>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</si>
  <si>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</si>
  <si>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</si>
  <si>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</si>
  <si>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</si>
  <si>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</si>
  <si>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</si>
  <si>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</si>
  <si>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</si>
  <si>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</si>
  <si>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</si>
  <si>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</si>
  <si>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</si>
  <si>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</si>
  <si>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</si>
  <si>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</si>
  <si>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</si>
  <si>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</si>
  <si>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</si>
  <si>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</si>
  <si>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</si>
  <si>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</si>
  <si>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</si>
  <si>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</si>
  <si>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</si>
  <si>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</si>
  <si>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</si>
  <si>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</si>
  <si>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</si>
  <si>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</si>
  <si>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</si>
  <si>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</si>
  <si>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</si>
  <si>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</si>
  <si>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</si>
  <si>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</si>
  <si>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</si>
  <si>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</si>
  <si>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</si>
  <si>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</si>
  <si>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</si>
  <si>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</si>
  <si>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</si>
  <si>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</si>
  <si>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</si>
  <si>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</si>
  <si>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</si>
  <si>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</si>
  <si>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</si>
  <si>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</si>
  <si>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</si>
  <si>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</si>
  <si>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</si>
  <si>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</si>
  <si>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</si>
  <si>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</si>
  <si>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</si>
  <si>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</si>
  <si>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</si>
  <si>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</si>
  <si>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</si>
  <si>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</si>
  <si>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</si>
  <si>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</si>
  <si>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</si>
  <si>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</si>
  <si>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</si>
  <si>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</si>
  <si>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</si>
  <si>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</si>
  <si>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</si>
  <si>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</si>
  <si>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</si>
  <si>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</si>
  <si>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</si>
  <si>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</si>
  <si>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</si>
  <si>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</si>
  <si>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</si>
  <si>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</si>
  <si>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</si>
  <si>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</si>
  <si>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</si>
  <si>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</si>
  <si>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</si>
  <si>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</si>
  <si>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</si>
  <si>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</si>
  <si>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</si>
  <si>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</si>
  <si>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</si>
  <si>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</si>
  <si>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</si>
  <si>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</si>
  <si>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</si>
  <si>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</si>
  <si>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</si>
  <si>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</si>
  <si>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</si>
  <si>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</si>
  <si>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</si>
  <si>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</si>
  <si>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</si>
  <si>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</si>
  <si>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</si>
  <si>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</si>
  <si>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</si>
  <si>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</si>
  <si>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</si>
  <si>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</si>
  <si>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</si>
  <si>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</si>
  <si>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</si>
  <si>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</si>
  <si>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</si>
  <si>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</si>
  <si>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</si>
  <si>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</si>
  <si>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</si>
  <si>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</si>
  <si>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</si>
  <si>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</si>
  <si>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</si>
  <si>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</si>
  <si>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</si>
  <si>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</si>
  <si>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</si>
  <si>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</si>
  <si>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</si>
  <si>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</si>
  <si>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</si>
  <si>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</si>
  <si>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</si>
  <si>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</si>
  <si>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</si>
  <si>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</si>
  <si>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</si>
  <si>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</si>
  <si>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</si>
  <si>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</si>
  <si>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</si>
  <si>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</si>
  <si>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</si>
  <si>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</si>
  <si>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</si>
  <si>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</si>
  <si>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</si>
  <si>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</si>
  <si>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</si>
  <si>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</si>
  <si>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</si>
  <si>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</si>
  <si>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</si>
  <si>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</si>
  <si>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</si>
  <si>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</si>
  <si>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</si>
  <si>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</si>
  <si>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</si>
  <si>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</si>
  <si>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</si>
  <si>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</si>
  <si>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</si>
  <si>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</si>
  <si>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</si>
  <si>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</si>
  <si>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</si>
  <si>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</si>
  <si>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</si>
  <si>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</si>
  <si>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</si>
  <si>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</si>
  <si>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</si>
  <si>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</si>
  <si>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</si>
  <si>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</si>
  <si>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</si>
  <si>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</si>
  <si>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</si>
  <si>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</si>
  <si>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</si>
  <si>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</si>
  <si>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</si>
  <si>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</si>
  <si>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</si>
  <si>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</si>
  <si>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</si>
  <si>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</si>
  <si>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</si>
  <si>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</si>
  <si>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</si>
  <si>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</si>
  <si>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</si>
  <si>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</si>
  <si>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</si>
  <si>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</si>
  <si>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</si>
  <si>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</si>
  <si>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</si>
  <si>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</si>
  <si>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</si>
  <si>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</si>
  <si>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</si>
  <si>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</si>
  <si>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</si>
  <si>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</si>
  <si>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</si>
  <si>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</si>
  <si>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</si>
  <si>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</si>
  <si>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</si>
  <si>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</si>
  <si>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</si>
  <si>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</si>
  <si>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</si>
  <si>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</si>
  <si>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</si>
  <si>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</si>
  <si>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</si>
  <si>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</si>
  <si>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</si>
  <si>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</si>
  <si>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</si>
  <si>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</si>
  <si>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</si>
  <si>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</si>
  <si>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</si>
  <si>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</si>
  <si>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</si>
  <si>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</si>
  <si>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</si>
  <si>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</si>
  <si>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</si>
  <si>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</si>
  <si>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</si>
  <si>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</si>
  <si>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</si>
  <si>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</si>
  <si>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</si>
  <si>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</si>
  <si>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</si>
  <si>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</si>
  <si>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</si>
  <si>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</si>
  <si>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</si>
  <si>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</si>
  <si>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</si>
  <si>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</si>
  <si>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</si>
  <si>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</si>
  <si>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</si>
  <si>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</si>
  <si>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</si>
  <si>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</si>
  <si>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</si>
  <si>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</si>
  <si>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</si>
  <si>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</si>
  <si>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</si>
  <si>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</si>
  <si>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</si>
  <si>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</si>
  <si>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</si>
  <si>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</si>
  <si>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</si>
  <si>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</si>
  <si>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</si>
  <si>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</si>
  <si>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</si>
  <si>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</si>
  <si>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</si>
  <si>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</si>
  <si>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</si>
  <si>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</si>
  <si>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</si>
  <si>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</si>
  <si>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</si>
  <si>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</si>
  <si>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</si>
  <si>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</si>
  <si>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</si>
  <si>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</si>
  <si>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</si>
  <si>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</si>
  <si>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</si>
  <si>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</si>
  <si>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</si>
  <si>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</si>
  <si>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</si>
  <si>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</si>
  <si>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</si>
  <si>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</si>
  <si>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</si>
  <si>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</si>
  <si>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</si>
  <si>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</si>
  <si>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</si>
  <si>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</si>
  <si>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</si>
  <si>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</si>
  <si>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</si>
  <si>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</si>
  <si>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</si>
  <si>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</si>
  <si>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</si>
  <si>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</si>
  <si>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</si>
  <si>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</si>
  <si>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</si>
  <si>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</si>
  <si>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</si>
  <si>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</si>
  <si>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</si>
  <si>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</si>
  <si>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</si>
  <si>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</si>
  <si>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</si>
  <si>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</si>
  <si>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</si>
  <si>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</si>
  <si>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</si>
  <si>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</si>
  <si>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</si>
  <si>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</si>
  <si>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</si>
  <si>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</si>
  <si>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</si>
  <si>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</si>
  <si>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</si>
  <si>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</si>
  <si>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</si>
  <si>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</si>
  <si>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</si>
  <si>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</si>
  <si>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</si>
  <si>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</si>
  <si>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</si>
  <si>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</si>
  <si>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</si>
  <si>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</si>
  <si>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</si>
  <si>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</si>
  <si>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</si>
  <si>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</si>
  <si>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</si>
  <si>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</si>
  <si>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</si>
  <si>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</si>
  <si>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</si>
  <si>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</si>
  <si>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</si>
  <si>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</si>
  <si>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</si>
  <si>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</si>
  <si>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</si>
  <si>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</si>
  <si>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</si>
  <si>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</si>
  <si>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</si>
  <si>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</si>
  <si>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</si>
  <si>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</si>
  <si>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</si>
  <si>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</si>
  <si>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</si>
  <si>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</si>
  <si>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</si>
  <si>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</si>
  <si>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</si>
  <si>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</si>
  <si>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</si>
  <si>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</si>
  <si>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</si>
  <si>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</si>
  <si>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</si>
  <si>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</si>
  <si>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</si>
  <si>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</si>
  <si>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</si>
  <si>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</si>
  <si>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</si>
  <si>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</si>
  <si>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</si>
  <si>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</si>
  <si>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</si>
  <si>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</si>
  <si>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</si>
  <si>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</si>
  <si>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</si>
  <si>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</si>
  <si>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</si>
  <si>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</si>
  <si>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</si>
  <si>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</si>
  <si>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</si>
  <si>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</si>
  <si>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</si>
  <si>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</si>
  <si>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</si>
  <si>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</si>
  <si>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</si>
  <si>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</si>
  <si>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</si>
  <si>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</si>
  <si>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</si>
  <si>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</si>
  <si>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</si>
  <si>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</si>
  <si>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</si>
  <si>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</si>
  <si>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</si>
  <si>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</si>
  <si>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</si>
  <si>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</si>
  <si>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</si>
  <si>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</si>
  <si>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</si>
  <si>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</si>
  <si>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</si>
  <si>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</si>
  <si>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</si>
  <si>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</si>
  <si>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</si>
  <si>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</si>
  <si>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</si>
  <si>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</si>
  <si>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</si>
  <si>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</si>
  <si>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</si>
  <si>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</si>
  <si>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</si>
  <si>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</si>
  <si>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</si>
  <si>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</si>
  <si>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</si>
  <si>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</si>
  <si>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</si>
  <si>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</si>
  <si>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</si>
  <si>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</si>
  <si>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</si>
  <si>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</si>
  <si>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</si>
  <si>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</si>
  <si>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</si>
  <si>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</si>
  <si>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</si>
  <si>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</si>
  <si>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</si>
  <si>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</si>
  <si>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</si>
  <si>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</si>
  <si>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</si>
  <si>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</si>
  <si>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</si>
  <si>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</si>
  <si>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</si>
  <si>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</si>
  <si>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</si>
  <si>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</si>
  <si>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</si>
  <si>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</si>
  <si>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</si>
  <si>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</si>
  <si>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</si>
  <si>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</si>
  <si>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</si>
  <si>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</si>
  <si>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</si>
  <si>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</si>
  <si>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</si>
  <si>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</si>
  <si>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</si>
  <si>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B1</t>
  </si>
  <si>
    <t>B0</t>
  </si>
  <si>
    <t>SE</t>
  </si>
  <si>
    <t>Slope</t>
  </si>
  <si>
    <t>Intercept</t>
  </si>
  <si>
    <t>R2</t>
  </si>
  <si>
    <t>SE Estimate</t>
  </si>
  <si>
    <t>Uji F</t>
  </si>
  <si>
    <t>DF</t>
  </si>
  <si>
    <t>SSR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</si>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</sst>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R120"/>
  <sheetViews>
    <sheetView tabSelected="1" workbookViewId="0">
      <selection activeCell="Q4" sqref="Q4"/>
    </sheetView>
  </sheetViews>
  <sheetFormatPr defaultRowHeight="13.2" x14ac:dyDescent="0.25"/>
  <cols>
    <col min="1" max="1" width="29.77734375" customWidth="1"/>
  </cols>
  <sheetData>
    <row r="1" spans="1:18" ht="13.2" customHeight="1" x14ac:dyDescent="0.25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8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8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8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N4" t="s">
        <v>1705</v>
      </c>
      <c r="O4" t="s">
        <v>1706</v>
      </c>
    </row>
    <row r="5" spans="1:18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N5">
        <f>SLOPE(B2:B120,C2:C120)</f>
        <v>2.8749767427563082</v>
      </c>
      <c r="O5">
        <f>INTERCEPT(B2:B120,C2:C120)</f>
        <v>50.353325164083934</v>
      </c>
      <c r="Q5" t="s">
        <v>1708</v>
      </c>
      <c r="R5" t="s">
        <v>1709</v>
      </c>
    </row>
    <row r="6" spans="1:18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8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  <c r="N7" cm="1">
        <f t="array" ref="N7:O11">LINEST(B2:B120,C2:C120,TRUE,TRUE)</f>
        <v>2.8749767427563082</v>
      </c>
      <c r="O7">
        <v>50.353325164083934</v>
      </c>
      <c r="Q7" t="s">
        <v>1705</v>
      </c>
      <c r="R7" t="s">
        <v>1706</v>
      </c>
    </row>
    <row r="8" spans="1:18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N8">
        <v>9.4192980769669421E-2</v>
      </c>
      <c r="O8">
        <v>0.84612745324278249</v>
      </c>
      <c r="Q8" t="s">
        <v>1707</v>
      </c>
      <c r="R8" t="s">
        <v>1707</v>
      </c>
    </row>
    <row r="9" spans="1:18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  <c r="N9">
        <v>0.88842314055025895</v>
      </c>
      <c r="O9">
        <v>1.6828470103751438</v>
      </c>
      <c r="Q9" t="s">
        <v>1710</v>
      </c>
      <c r="R9" t="s">
        <v>1711</v>
      </c>
    </row>
    <row r="10" spans="1:18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  <c r="N10">
        <v>931.60452765030288</v>
      </c>
      <c r="O10">
        <v>117</v>
      </c>
      <c r="Q10" t="s">
        <v>1712</v>
      </c>
      <c r="R10" t="s">
        <v>1713</v>
      </c>
    </row>
    <row r="11" spans="1:18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  <c r="N11">
        <v>2638.2798567902978</v>
      </c>
      <c r="O11">
        <v>331.34096505844144</v>
      </c>
      <c r="Q11" t="s">
        <v>1714</v>
      </c>
      <c r="R11" t="s">
        <v>1715</v>
      </c>
    </row>
    <row r="12" spans="1:18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8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8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8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8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.2" x14ac:dyDescent="0.25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Athaurahman</cp:lastModifiedBy>
  <dcterms:modified xsi:type="dcterms:W3CDTF">2026-02-03T07:33:06Z</dcterms:modified>
</cp:coreProperties>
</file>